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mc:AlternateContent xmlns:mc="http://schemas.openxmlformats.org/markup-compatibility/2006">
    <mc:Choice Requires="x15">
      <x15ac:absPath xmlns:x15ac="http://schemas.microsoft.com/office/spreadsheetml/2010/11/ac" url="H:\My Drive\SKILLS AHEAD\MR RUMENE CLASS ACTIVITIES\INTRODUCTION TO DATA ANALYTICS\DATA PREPARATION\PROJECTS\EXCEL PROJECTS(TYPES OF ANALYSIS\PROJECT 2(DIAGNOSIS ANALYSIS\"/>
    </mc:Choice>
  </mc:AlternateContent>
  <xr:revisionPtr revIDLastSave="0" documentId="13_ncr:1_{CCBB586C-7690-415E-A563-18DE8B4B383F}" xr6:coauthVersionLast="47" xr6:coauthVersionMax="47" xr10:uidLastSave="{00000000-0000-0000-0000-000000000000}"/>
  <bookViews>
    <workbookView xWindow="1500" yWindow="12" windowWidth="13956" windowHeight="12492" firstSheet="1" activeTab="2" xr2:uid="{07CF44C3-B6CE-4449-9CA6-046EA7994568}"/>
  </bookViews>
  <sheets>
    <sheet name="Emerald clean data 2" sheetId="2" r:id="rId1"/>
    <sheet name="Pivot Table" sheetId="4" r:id="rId2"/>
    <sheet name="Dash Board" sheetId="1" r:id="rId3"/>
  </sheets>
  <definedNames>
    <definedName name="_xlcn.WorksheetConnection_Project2.xlsxDataset1" hidden="1">Dataset[]</definedName>
    <definedName name="ExternalData_1" localSheetId="0" hidden="1">'Emerald clean data 2'!$A$1:$G$194</definedName>
    <definedName name="Slicer_Client_Gender">#N/A</definedName>
    <definedName name="Slicer_Inspection">#N/A</definedName>
    <definedName name="Slicer_Product">#N/A</definedName>
  </definedNames>
  <calcPr calcId="191029"/>
  <pivotCaches>
    <pivotCache cacheId="567" r:id="rId4"/>
    <pivotCache cacheId="570" r:id="rId5"/>
    <pivotCache cacheId="573" r:id="rId6"/>
    <pivotCache cacheId="576" r:id="rId7"/>
    <pivotCache cacheId="579" r:id="rId8"/>
    <pivotCache cacheId="582" r:id="rId9"/>
    <pivotCache cacheId="585" r:id="rId10"/>
    <pivotCache cacheId="588" r:id="rId11"/>
    <pivotCache cacheId="591"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 name="Dataset" connection="WorksheetConnection_Project 2.xlsx!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4" i="1" l="1"/>
  <c r="J13" i="1"/>
  <c r="F20" i="1"/>
  <c r="F13" i="1"/>
  <c r="J2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250245-577F-47FE-AA1F-D156C158AEDC}"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87307845-E94E-487D-ADC2-61DAC98E6E3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15A0A65-A1B2-4983-942D-88BF7E1030FD}" name="WorksheetConnection_Project 2.xlsx!Dataset" type="102" refreshedVersion="8" minRefreshableVersion="5">
    <extLst>
      <ext xmlns:x15="http://schemas.microsoft.com/office/spreadsheetml/2010/11/main" uri="{DE250136-89BD-433C-8126-D09CA5730AF9}">
        <x15:connection id="Dataset" autoDelete="1">
          <x15:rangePr sourceName="_xlcn.WorksheetConnection_Project2.xlsxDataset1"/>
        </x15:connection>
      </ext>
    </extLst>
  </connection>
</connections>
</file>

<file path=xl/sharedStrings.xml><?xml version="1.0" encoding="utf-8"?>
<sst xmlns="http://schemas.openxmlformats.org/spreadsheetml/2006/main" count="1406" uniqueCount="237">
  <si>
    <t>Client ID</t>
  </si>
  <si>
    <t>Client Gender</t>
  </si>
  <si>
    <t>Sales Person</t>
  </si>
  <si>
    <t>Sales</t>
  </si>
  <si>
    <t>State</t>
  </si>
  <si>
    <t>Product</t>
  </si>
  <si>
    <t>Inspection</t>
  </si>
  <si>
    <t>J1</t>
  </si>
  <si>
    <t>Female</t>
  </si>
  <si>
    <t>Chukwudi</t>
  </si>
  <si>
    <t>Not Interested</t>
  </si>
  <si>
    <t>Lagos</t>
  </si>
  <si>
    <t>Commercial</t>
  </si>
  <si>
    <t>Yes</t>
  </si>
  <si>
    <t>J2</t>
  </si>
  <si>
    <t>Ngozi</t>
  </si>
  <si>
    <t>Too Expensive</t>
  </si>
  <si>
    <t>Industrial</t>
  </si>
  <si>
    <t>J3</t>
  </si>
  <si>
    <t>Paid</t>
  </si>
  <si>
    <t>Rivers</t>
  </si>
  <si>
    <t>Residential</t>
  </si>
  <si>
    <t>J4</t>
  </si>
  <si>
    <t>No</t>
  </si>
  <si>
    <t>J5</t>
  </si>
  <si>
    <t>Male</t>
  </si>
  <si>
    <t>Funmi</t>
  </si>
  <si>
    <t>J6</t>
  </si>
  <si>
    <t>Ahmed</t>
  </si>
  <si>
    <t>J7</t>
  </si>
  <si>
    <t>J8</t>
  </si>
  <si>
    <t>Next Time</t>
  </si>
  <si>
    <t>J9</t>
  </si>
  <si>
    <t>J10</t>
  </si>
  <si>
    <t>J11</t>
  </si>
  <si>
    <t>J12</t>
  </si>
  <si>
    <t>Olumide</t>
  </si>
  <si>
    <t>J13</t>
  </si>
  <si>
    <t>J14</t>
  </si>
  <si>
    <t>J15</t>
  </si>
  <si>
    <t>J16</t>
  </si>
  <si>
    <t>J17</t>
  </si>
  <si>
    <t>J18</t>
  </si>
  <si>
    <t>J19</t>
  </si>
  <si>
    <t>J20</t>
  </si>
  <si>
    <t>J21</t>
  </si>
  <si>
    <t>J22</t>
  </si>
  <si>
    <t>J23</t>
  </si>
  <si>
    <t>Chioma</t>
  </si>
  <si>
    <t>J24</t>
  </si>
  <si>
    <t>J25</t>
  </si>
  <si>
    <t>J26</t>
  </si>
  <si>
    <t>J27</t>
  </si>
  <si>
    <t>J28</t>
  </si>
  <si>
    <t>J29</t>
  </si>
  <si>
    <t>J30</t>
  </si>
  <si>
    <t>J31</t>
  </si>
  <si>
    <t>J32</t>
  </si>
  <si>
    <t>J33</t>
  </si>
  <si>
    <t>J34</t>
  </si>
  <si>
    <t>J35</t>
  </si>
  <si>
    <t>J36</t>
  </si>
  <si>
    <t>J37</t>
  </si>
  <si>
    <t>J38</t>
  </si>
  <si>
    <t>J39</t>
  </si>
  <si>
    <t>J40</t>
  </si>
  <si>
    <t>J41</t>
  </si>
  <si>
    <t>J42</t>
  </si>
  <si>
    <t>J43</t>
  </si>
  <si>
    <t>J44</t>
  </si>
  <si>
    <t>J45</t>
  </si>
  <si>
    <t>J46</t>
  </si>
  <si>
    <t>J47</t>
  </si>
  <si>
    <t>J48</t>
  </si>
  <si>
    <t>J49</t>
  </si>
  <si>
    <t>J50</t>
  </si>
  <si>
    <t>J51</t>
  </si>
  <si>
    <t>J52</t>
  </si>
  <si>
    <t>J53</t>
  </si>
  <si>
    <t>J54</t>
  </si>
  <si>
    <t>J55</t>
  </si>
  <si>
    <t>J56</t>
  </si>
  <si>
    <t>J57</t>
  </si>
  <si>
    <t>J58</t>
  </si>
  <si>
    <t>J59</t>
  </si>
  <si>
    <t>J60</t>
  </si>
  <si>
    <t>J61</t>
  </si>
  <si>
    <t>J62</t>
  </si>
  <si>
    <t>J63</t>
  </si>
  <si>
    <t>J64</t>
  </si>
  <si>
    <t>J65</t>
  </si>
  <si>
    <t>J66</t>
  </si>
  <si>
    <t>J67</t>
  </si>
  <si>
    <t>J68</t>
  </si>
  <si>
    <t>J69</t>
  </si>
  <si>
    <t>J70</t>
  </si>
  <si>
    <t>J71</t>
  </si>
  <si>
    <t>J72</t>
  </si>
  <si>
    <t>J73</t>
  </si>
  <si>
    <t>J74</t>
  </si>
  <si>
    <t>J75</t>
  </si>
  <si>
    <t>J76</t>
  </si>
  <si>
    <t>J77</t>
  </si>
  <si>
    <t>J78</t>
  </si>
  <si>
    <t>J79</t>
  </si>
  <si>
    <t>J80</t>
  </si>
  <si>
    <t>J81</t>
  </si>
  <si>
    <t>J82</t>
  </si>
  <si>
    <t>J83</t>
  </si>
  <si>
    <t>J84</t>
  </si>
  <si>
    <t>J85</t>
  </si>
  <si>
    <t>J86</t>
  </si>
  <si>
    <t>J87</t>
  </si>
  <si>
    <t>J88</t>
  </si>
  <si>
    <t>J89</t>
  </si>
  <si>
    <t>J90</t>
  </si>
  <si>
    <t>J91</t>
  </si>
  <si>
    <t>J92</t>
  </si>
  <si>
    <t>J93</t>
  </si>
  <si>
    <t>J94</t>
  </si>
  <si>
    <t>J95</t>
  </si>
  <si>
    <t>J96</t>
  </si>
  <si>
    <t>J97</t>
  </si>
  <si>
    <t>J98</t>
  </si>
  <si>
    <t>J99</t>
  </si>
  <si>
    <t>J100</t>
  </si>
  <si>
    <t>J101</t>
  </si>
  <si>
    <t>J102</t>
  </si>
  <si>
    <t>J103</t>
  </si>
  <si>
    <t>J104</t>
  </si>
  <si>
    <t>J105</t>
  </si>
  <si>
    <t>J106</t>
  </si>
  <si>
    <t>J107</t>
  </si>
  <si>
    <t>J108</t>
  </si>
  <si>
    <t>J109</t>
  </si>
  <si>
    <t>J110</t>
  </si>
  <si>
    <t>J111</t>
  </si>
  <si>
    <t>J112</t>
  </si>
  <si>
    <t>J113</t>
  </si>
  <si>
    <t>J114</t>
  </si>
  <si>
    <t>J115</t>
  </si>
  <si>
    <t>J116</t>
  </si>
  <si>
    <t>J117</t>
  </si>
  <si>
    <t>J118</t>
  </si>
  <si>
    <t>J119</t>
  </si>
  <si>
    <t>J120</t>
  </si>
  <si>
    <t>J121</t>
  </si>
  <si>
    <t>J122</t>
  </si>
  <si>
    <t>J123</t>
  </si>
  <si>
    <t>J124</t>
  </si>
  <si>
    <t>J125</t>
  </si>
  <si>
    <t>J126</t>
  </si>
  <si>
    <t>J127</t>
  </si>
  <si>
    <t>J128</t>
  </si>
  <si>
    <t>J129</t>
  </si>
  <si>
    <t>J130</t>
  </si>
  <si>
    <t>J131</t>
  </si>
  <si>
    <t>J132</t>
  </si>
  <si>
    <t>J133</t>
  </si>
  <si>
    <t>J134</t>
  </si>
  <si>
    <t>J135</t>
  </si>
  <si>
    <t>J136</t>
  </si>
  <si>
    <t>J137</t>
  </si>
  <si>
    <t>J138</t>
  </si>
  <si>
    <t>J139</t>
  </si>
  <si>
    <t>J140</t>
  </si>
  <si>
    <t>J141</t>
  </si>
  <si>
    <t>J142</t>
  </si>
  <si>
    <t>J143</t>
  </si>
  <si>
    <t>J144</t>
  </si>
  <si>
    <t>J145</t>
  </si>
  <si>
    <t>J146</t>
  </si>
  <si>
    <t>J147</t>
  </si>
  <si>
    <t>J148</t>
  </si>
  <si>
    <t>J149</t>
  </si>
  <si>
    <t>J150</t>
  </si>
  <si>
    <t>J151</t>
  </si>
  <si>
    <t>J152</t>
  </si>
  <si>
    <t>J153</t>
  </si>
  <si>
    <t>J154</t>
  </si>
  <si>
    <t>J155</t>
  </si>
  <si>
    <t>J156</t>
  </si>
  <si>
    <t>J157</t>
  </si>
  <si>
    <t>J158</t>
  </si>
  <si>
    <t>J159</t>
  </si>
  <si>
    <t>J160</t>
  </si>
  <si>
    <t>J161</t>
  </si>
  <si>
    <t>J162</t>
  </si>
  <si>
    <t>J163</t>
  </si>
  <si>
    <t>J164</t>
  </si>
  <si>
    <t>J165</t>
  </si>
  <si>
    <t>J166</t>
  </si>
  <si>
    <t>J167</t>
  </si>
  <si>
    <t>J168</t>
  </si>
  <si>
    <t>J169</t>
  </si>
  <si>
    <t>J170</t>
  </si>
  <si>
    <t>J171</t>
  </si>
  <si>
    <t>J172</t>
  </si>
  <si>
    <t>J173</t>
  </si>
  <si>
    <t>J174</t>
  </si>
  <si>
    <t>J175</t>
  </si>
  <si>
    <t>J176</t>
  </si>
  <si>
    <t>J177</t>
  </si>
  <si>
    <t>J178</t>
  </si>
  <si>
    <t>J179</t>
  </si>
  <si>
    <t>J180</t>
  </si>
  <si>
    <t>J181</t>
  </si>
  <si>
    <t>J182</t>
  </si>
  <si>
    <t>J183</t>
  </si>
  <si>
    <t>J184</t>
  </si>
  <si>
    <t>J185</t>
  </si>
  <si>
    <t>J186</t>
  </si>
  <si>
    <t>J187</t>
  </si>
  <si>
    <t>J188</t>
  </si>
  <si>
    <t>J189</t>
  </si>
  <si>
    <t>J190</t>
  </si>
  <si>
    <t>J191</t>
  </si>
  <si>
    <t>J192</t>
  </si>
  <si>
    <t>J193</t>
  </si>
  <si>
    <t>CR%</t>
  </si>
  <si>
    <t>Grand Total</t>
  </si>
  <si>
    <t>Gender</t>
  </si>
  <si>
    <t>Inspection Status</t>
  </si>
  <si>
    <t>Sales Executive</t>
  </si>
  <si>
    <t>Branches</t>
  </si>
  <si>
    <t>Property Type</t>
  </si>
  <si>
    <t>Branch</t>
  </si>
  <si>
    <t>Total Leads</t>
  </si>
  <si>
    <t>Total Paid</t>
  </si>
  <si>
    <t>Conversion Rate</t>
  </si>
  <si>
    <t>Pending Leads</t>
  </si>
  <si>
    <t>EMERALD</t>
  </si>
  <si>
    <t>Prime Properties</t>
  </si>
  <si>
    <t>HI Oyindamola</t>
  </si>
  <si>
    <t>Dashboard</t>
  </si>
  <si>
    <t>Conversion Rate Analysis</t>
  </si>
  <si>
    <t>https://www.linkedin.com/in/olakunle-fathia/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</si>
</sst>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0.0%"/>
    <numFmt numFmtId="166" formatCode="[$-F800]dddd\,\ mmmm\ dd\,\ yyyy"/>
  </numFmts>
  <fonts count="17" x14ac:knownFonts="1">
    <font>
      <sz val="11"/>
      <color theme="1"/>
      <name val="Calibri"/>
      <family val="2"/>
      <scheme val="minor"/>
    </font>
    <font>
      <sz val="11"/>
      <color theme="5" tint="-0.249977111117893"/>
      <name val="Calibri"/>
      <family val="2"/>
      <scheme val="minor"/>
    </font>
    <font>
      <sz val="11"/>
      <color theme="1"/>
      <name val="Calibri"/>
      <family val="2"/>
      <scheme val="minor"/>
    </font>
    <font>
      <b/>
      <sz val="22"/>
      <color rgb="FFFF0000"/>
      <name val="Calibri"/>
      <family val="2"/>
      <scheme val="minor"/>
    </font>
    <font>
      <b/>
      <sz val="36"/>
      <color rgb="FF6D6F65"/>
      <name val="Calibri"/>
      <family val="2"/>
      <scheme val="minor"/>
    </font>
    <font>
      <sz val="12"/>
      <color theme="5" tint="-0.249977111117893"/>
      <name val="Calibri"/>
      <family val="2"/>
      <scheme val="minor"/>
    </font>
    <font>
      <sz val="11"/>
      <color theme="4" tint="0.39997558519241921"/>
      <name val="Calibri"/>
      <family val="2"/>
      <scheme val="minor"/>
    </font>
    <font>
      <b/>
      <sz val="20"/>
      <color theme="4" tint="0.39997558519241921"/>
      <name val="Calibri"/>
      <family val="2"/>
      <scheme val="minor"/>
    </font>
    <font>
      <b/>
      <sz val="12"/>
      <color theme="4" tint="0.39997558519241921"/>
      <name val="Calibri"/>
      <family val="2"/>
      <scheme val="minor"/>
    </font>
    <font>
      <b/>
      <sz val="11"/>
      <color theme="4" tint="0.39997558519241921"/>
      <name val="Calibri"/>
      <family val="2"/>
      <scheme val="minor"/>
    </font>
    <font>
      <sz val="14"/>
      <color theme="4" tint="0.39997558519241921"/>
      <name val="Calibri"/>
      <family val="2"/>
      <scheme val="minor"/>
    </font>
    <font>
      <b/>
      <sz val="12"/>
      <color theme="1" tint="0.34998626667073579"/>
      <name val="Calibri"/>
      <family val="2"/>
      <scheme val="minor"/>
    </font>
    <font>
      <b/>
      <sz val="11"/>
      <color theme="1" tint="0.34998626667073579"/>
      <name val="Calibri"/>
      <family val="2"/>
      <scheme val="minor"/>
    </font>
    <font>
      <b/>
      <i/>
      <sz val="26"/>
      <color theme="1" tint="0.34998626667073579"/>
      <name val="Calibri"/>
      <family val="2"/>
      <scheme val="minor"/>
    </font>
    <font>
      <i/>
      <sz val="14"/>
      <color theme="1" tint="0.34998626667073579"/>
      <name val="Calibri"/>
      <family val="2"/>
      <scheme val="minor"/>
    </font>
    <font>
      <b/>
      <sz val="36"/>
      <color rgb="FFFF0000"/>
      <name val="Calibri"/>
      <family val="2"/>
      <scheme val="minor"/>
    </font>
    <font>
      <sz val="11"/>
      <color theme="7" tint="-0.249977111117893"/>
      <name val="Calibri"/>
      <family val="2"/>
      <scheme val="minor"/>
    </font>
  </fonts>
  <fills count="7">
    <fill>
      <patternFill patternType="none"/>
    </fill>
    <fill>
      <patternFill patternType="gray125"/>
    </fill>
    <fill>
      <patternFill patternType="solid">
        <fgColor rgb="FF1A1208"/>
        <bgColor indexed="64"/>
      </patternFill>
    </fill>
    <fill>
      <patternFill patternType="solid">
        <fgColor rgb="FF1F2833"/>
        <bgColor indexed="64"/>
      </patternFill>
    </fill>
    <fill>
      <patternFill patternType="solid">
        <fgColor theme="1"/>
        <bgColor indexed="64"/>
      </patternFill>
    </fill>
    <fill>
      <patternFill patternType="solid">
        <fgColor theme="1" tint="0.14999847407452621"/>
        <bgColor indexed="64"/>
      </patternFill>
    </fill>
    <fill>
      <patternFill patternType="solid">
        <fgColor theme="1" tint="4.9989318521683403E-2"/>
        <bgColor indexed="64"/>
      </patternFill>
    </fill>
  </fills>
  <borders count="2">
    <border>
      <left/>
      <right/>
      <top/>
      <bottom/>
      <diagonal/>
    </border>
    <border>
      <left/>
      <right/>
      <top style="thin">
        <color theme="2" tint="-0.749992370372631"/>
      </top>
      <bottom/>
      <diagonal/>
    </border>
  </borders>
  <cellStyleXfs count="2">
    <xf numFmtId="0" fontId="0" fillId="0" borderId="0"/>
    <xf numFmtId="9" fontId="2" fillId="0" borderId="0" applyFont="0" applyFill="0" applyBorder="0" applyAlignment="0" applyProtection="0"/>
  </cellStyleXfs>
  <cellXfs count="33">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1" fillId="6" borderId="0" xfId="0" applyFont="1" applyFill="1"/>
    <xf numFmtId="0" fontId="1" fillId="5" borderId="0" xfId="0" applyFont="1" applyFill="1"/>
    <xf numFmtId="0" fontId="1" fillId="4" borderId="0" xfId="0" applyFont="1" applyFill="1"/>
    <xf numFmtId="1" fontId="0" fillId="0" borderId="0" xfId="0" applyNumberFormat="1"/>
    <xf numFmtId="3" fontId="0" fillId="0" borderId="0" xfId="0" applyNumberFormat="1"/>
    <xf numFmtId="0" fontId="6" fillId="5" borderId="0" xfId="0" applyFont="1" applyFill="1"/>
    <xf numFmtId="0" fontId="8" fillId="5" borderId="0" xfId="0" applyFont="1" applyFill="1"/>
    <xf numFmtId="0" fontId="9" fillId="5" borderId="0" xfId="0" applyFont="1" applyFill="1"/>
    <xf numFmtId="0" fontId="1" fillId="5" borderId="1" xfId="0" applyFont="1" applyFill="1" applyBorder="1"/>
    <xf numFmtId="0" fontId="13" fillId="5" borderId="0" xfId="0" applyFont="1" applyFill="1" applyAlignment="1"/>
    <xf numFmtId="0" fontId="13" fillId="5" borderId="1" xfId="0" applyFont="1" applyFill="1" applyBorder="1" applyAlignment="1"/>
    <xf numFmtId="0" fontId="5" fillId="4" borderId="0" xfId="0" applyFont="1" applyFill="1" applyAlignment="1"/>
    <xf numFmtId="0" fontId="11" fillId="5" borderId="0" xfId="0" applyFont="1" applyFill="1" applyAlignment="1"/>
    <xf numFmtId="0" fontId="4" fillId="5" borderId="0" xfId="0" applyFont="1" applyFill="1" applyAlignment="1">
      <alignment vertical="center"/>
    </xf>
    <xf numFmtId="165" fontId="3" fillId="5" borderId="0" xfId="1" applyNumberFormat="1" applyFont="1" applyFill="1" applyAlignment="1">
      <alignment vertical="center"/>
    </xf>
    <xf numFmtId="165" fontId="15" fillId="5" borderId="0" xfId="1" applyNumberFormat="1" applyFont="1" applyFill="1" applyAlignment="1">
      <alignment horizontal="left" vertical="center"/>
    </xf>
    <xf numFmtId="0" fontId="16" fillId="5" borderId="0" xfId="0" applyFont="1" applyFill="1"/>
    <xf numFmtId="0" fontId="4" fillId="5" borderId="0" xfId="0" applyFont="1" applyFill="1" applyAlignment="1">
      <alignment horizontal="left" vertical="center"/>
    </xf>
    <xf numFmtId="165" fontId="15" fillId="5" borderId="0" xfId="1" applyNumberFormat="1" applyFont="1" applyFill="1" applyAlignment="1">
      <alignment horizontal="left" vertical="center"/>
    </xf>
    <xf numFmtId="0" fontId="7" fillId="5" borderId="0" xfId="0" applyFont="1" applyFill="1" applyAlignment="1">
      <alignment horizontal="center" vertical="center"/>
    </xf>
    <xf numFmtId="0" fontId="10" fillId="5" borderId="0" xfId="0" applyFont="1" applyFill="1" applyAlignment="1">
      <alignment horizontal="right"/>
    </xf>
    <xf numFmtId="0" fontId="14" fillId="5" borderId="0" xfId="0" applyFont="1" applyFill="1" applyAlignment="1">
      <alignment horizontal="center" vertical="center"/>
    </xf>
    <xf numFmtId="0" fontId="13" fillId="5" borderId="0" xfId="0" applyFont="1" applyFill="1" applyAlignment="1">
      <alignment horizontal="center"/>
    </xf>
    <xf numFmtId="0" fontId="11" fillId="5" borderId="0" xfId="0" applyFont="1" applyFill="1" applyAlignment="1">
      <alignment horizontal="center"/>
    </xf>
    <xf numFmtId="166" fontId="12" fillId="5" borderId="0" xfId="0" applyNumberFormat="1" applyFont="1" applyFill="1" applyAlignment="1">
      <alignment horizontal="left"/>
    </xf>
    <xf numFmtId="0" fontId="8" fillId="5" borderId="0" xfId="0" applyFont="1" applyFill="1" applyAlignment="1">
      <alignment horizontal="left" vertical="top"/>
    </xf>
  </cellXfs>
  <cellStyles count="2">
    <cellStyle name="Normal" xfId="0" builtinId="0"/>
    <cellStyle name="Percent" xfId="1" builtinId="5"/>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4"/>
        <color theme="0" tint="-0.499984740745262"/>
        <name val="Calibri Light"/>
        <family val="2"/>
        <scheme val="major"/>
      </font>
    </dxf>
    <dxf>
      <font>
        <b/>
        <i val="0"/>
        <color theme="0" tint="-0.499984740745262"/>
      </font>
      <fill>
        <patternFill>
          <bgColor theme="1" tint="0.14996795556505021"/>
        </patternFill>
      </fill>
    </dxf>
  </dxfs>
  <tableStyles count="1" defaultTableStyle="TableStyleMedium2" defaultPivotStyle="PivotStyleLight16">
    <tableStyle name="Slicer Style 1" pivot="0" table="0" count="5" xr9:uid="{8161B260-DF05-4D8A-8A29-7A664E9B2EF9}">
      <tableStyleElement type="wholeTable" dxfId="8"/>
      <tableStyleElement type="headerRow" dxfId="7"/>
    </tableStyle>
  </tableStyles>
  <colors>
    <mruColors>
      <color rgb="FFF8A5C2"/>
      <color rgb="FFF06292"/>
      <color rgb="FFF4B6C2"/>
      <color rgb="FF6D6F65"/>
      <color rgb="FF739466"/>
      <color rgb="FF2ECC71"/>
      <color rgb="FFD4AF37"/>
      <color rgb="FFC000FF"/>
      <color rgb="FFEAEAEA"/>
      <color rgb="FF121212"/>
    </mruColors>
  </colors>
  <extLst>
    <ext xmlns:x14="http://schemas.microsoft.com/office/spreadsheetml/2009/9/main" uri="{46F421CA-312F-682f-3DD2-61675219B42D}">
      <x14:dxfs count="3">
        <dxf>
          <font>
            <b/>
            <i/>
            <sz val="12"/>
            <color theme="4"/>
            <name val="Calibri"/>
            <family val="2"/>
            <scheme val="minor"/>
          </font>
        </dxf>
        <dxf>
          <font>
            <b/>
            <i/>
            <sz val="14"/>
            <color theme="0" tint="-0.499984740745262"/>
            <name val="Calibri Light"/>
            <family val="2"/>
            <scheme val="major"/>
          </font>
          <fill>
            <patternFill>
              <bgColor theme="5" tint="-0.24994659260841701"/>
            </patternFill>
          </fill>
        </dxf>
        <dxf>
          <font>
            <b/>
            <i val="0"/>
            <sz val="12"/>
            <color theme="1" tint="0.34998626667073579"/>
            <name val="Calibri"/>
            <family val="2"/>
            <scheme val="minor"/>
          </font>
          <fill>
            <patternFill>
              <bgColor theme="5" tint="-0.24994659260841701"/>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Table!PivotTable4</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Table'!$E$11:$E$13</c:f>
              <c:strCache>
                <c:ptCount val="2"/>
                <c:pt idx="0">
                  <c:v>No</c:v>
                </c:pt>
                <c:pt idx="1">
                  <c:v>Yes</c:v>
                </c:pt>
              </c:strCache>
            </c:strRef>
          </c:cat>
          <c:val>
            <c:numRef>
              <c:f>'Pivot Table'!$F$11:$F$13</c:f>
              <c:numCache>
                <c:formatCode>#,##0.0%;\-#,##0.0%;#,##0.0%</c:formatCode>
                <c:ptCount val="2"/>
                <c:pt idx="0">
                  <c:v>0.1951219512195122</c:v>
                </c:pt>
                <c:pt idx="1">
                  <c:v>0.61261261261261257</c:v>
                </c:pt>
              </c:numCache>
            </c:numRef>
          </c:val>
          <c:extLst>
            <c:ext xmlns:c16="http://schemas.microsoft.com/office/drawing/2014/chart" uri="{C3380CC4-5D6E-409C-BE32-E72D297353CC}">
              <c16:uniqueId val="{0000000C-DC11-4BFC-A913-5DDA906CD576}"/>
            </c:ext>
          </c:extLst>
        </c:ser>
        <c:dLbls>
          <c:dLblPos val="outEnd"/>
          <c:showLegendKey val="0"/>
          <c:showVal val="1"/>
          <c:showCatName val="0"/>
          <c:showSerName val="0"/>
          <c:showPercent val="0"/>
          <c:showBubbleSize val="0"/>
        </c:dLbls>
        <c:gapWidth val="219"/>
        <c:overlap val="-27"/>
        <c:axId val="501325568"/>
        <c:axId val="501328192"/>
      </c:barChart>
      <c:catAx>
        <c:axId val="50132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28192"/>
        <c:crosses val="autoZero"/>
        <c:auto val="1"/>
        <c:lblAlgn val="ctr"/>
        <c:lblOffset val="100"/>
        <c:noMultiLvlLbl val="0"/>
      </c:catAx>
      <c:valAx>
        <c:axId val="501328192"/>
        <c:scaling>
          <c:orientation val="minMax"/>
        </c:scaling>
        <c:delete val="1"/>
        <c:axPos val="l"/>
        <c:numFmt formatCode="#,##0.0%;\-#,##0.0%;#,##0.0%" sourceLinked="1"/>
        <c:majorTickMark val="none"/>
        <c:minorTickMark val="none"/>
        <c:tickLblPos val="nextTo"/>
        <c:crossAx val="50132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Table!PivotTable4</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Table'!$E$11:$E$13</c:f>
              <c:strCache>
                <c:ptCount val="2"/>
                <c:pt idx="0">
                  <c:v>No</c:v>
                </c:pt>
                <c:pt idx="1">
                  <c:v>Yes</c:v>
                </c:pt>
              </c:strCache>
            </c:strRef>
          </c:cat>
          <c:val>
            <c:numRef>
              <c:f>'Pivot Table'!$F$11:$F$13</c:f>
              <c:numCache>
                <c:formatCode>#,##0.0%;\-#,##0.0%;#,##0.0%</c:formatCode>
                <c:ptCount val="2"/>
                <c:pt idx="0">
                  <c:v>0.1951219512195122</c:v>
                </c:pt>
                <c:pt idx="1">
                  <c:v>0.61261261261261257</c:v>
                </c:pt>
              </c:numCache>
            </c:numRef>
          </c:val>
          <c:extLst>
            <c:ext xmlns:c16="http://schemas.microsoft.com/office/drawing/2014/chart" uri="{C3380CC4-5D6E-409C-BE32-E72D297353CC}">
              <c16:uniqueId val="{0000000D-B3AD-4E7F-8FC2-14D946FA8D48}"/>
            </c:ext>
          </c:extLst>
        </c:ser>
        <c:dLbls>
          <c:dLblPos val="outEnd"/>
          <c:showLegendKey val="0"/>
          <c:showVal val="1"/>
          <c:showCatName val="0"/>
          <c:showSerName val="0"/>
          <c:showPercent val="0"/>
          <c:showBubbleSize val="0"/>
        </c:dLbls>
        <c:gapWidth val="219"/>
        <c:overlap val="-27"/>
        <c:axId val="501325568"/>
        <c:axId val="501328192"/>
      </c:barChart>
      <c:catAx>
        <c:axId val="501325568"/>
        <c:scaling>
          <c:orientation val="minMax"/>
        </c:scaling>
        <c:delete val="0"/>
        <c:axPos val="b"/>
        <c:numFmt formatCode="General" sourceLinked="1"/>
        <c:majorTickMark val="none"/>
        <c:minorTickMark val="none"/>
        <c:tickLblPos val="nextTo"/>
        <c:spPr>
          <a:noFill/>
          <a:ln w="9525" cap="flat" cmpd="sng" algn="ctr">
            <a:solidFill>
              <a:srgbClr val="1A0F3D"/>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501328192"/>
        <c:crosses val="autoZero"/>
        <c:auto val="1"/>
        <c:lblAlgn val="ctr"/>
        <c:lblOffset val="100"/>
        <c:noMultiLvlLbl val="0"/>
      </c:catAx>
      <c:valAx>
        <c:axId val="501328192"/>
        <c:scaling>
          <c:orientation val="minMax"/>
        </c:scaling>
        <c:delete val="1"/>
        <c:axPos val="l"/>
        <c:numFmt formatCode="#,##0.0%;\-#,##0.0%;#,##0.0%" sourceLinked="1"/>
        <c:majorTickMark val="none"/>
        <c:minorTickMark val="none"/>
        <c:tickLblPos val="nextTo"/>
        <c:crossAx val="50132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9482593420632385"/>
              <c:y val="-0.5620985010706639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8744809964867457"/>
              <c:y val="0.588865307120335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657811018592341E-2"/>
                  <c:h val="0.11769293024667417"/>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8744809964867457"/>
              <c:y val="0.588865307120335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657811018592341E-2"/>
                  <c:h val="0.11769293024667417"/>
                </c:manualLayout>
              </c15:layout>
            </c:ext>
          </c:extLst>
        </c:dLbl>
      </c:pivotFmt>
      <c:pivotFmt>
        <c:idx val="5"/>
        <c:spPr>
          <a:solidFill>
            <a:schemeClr val="accent2"/>
          </a:solidFill>
          <a:ln w="19050">
            <a:solidFill>
              <a:schemeClr val="lt1"/>
            </a:solidFill>
          </a:ln>
          <a:effectLst/>
        </c:spPr>
        <c:dLbl>
          <c:idx val="0"/>
          <c:layout>
            <c:manualLayout>
              <c:x val="-0.19482593420632385"/>
              <c:y val="-0.562098501070663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noFill/>
          </a:ln>
          <a:effectLst/>
        </c:spPr>
        <c:dLbl>
          <c:idx val="0"/>
          <c:layout>
            <c:manualLayout>
              <c:x val="0.25175447290871422"/>
              <c:y val="-0.12962973359048335"/>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2">
              <a:lumMod val="75000"/>
            </a:schemeClr>
          </a:solidFill>
          <a:ln w="19050">
            <a:noFill/>
          </a:ln>
          <a:effectLst/>
        </c:spPr>
        <c:dLbl>
          <c:idx val="0"/>
          <c:layout>
            <c:manualLayout>
              <c:x val="-0.14736847194656441"/>
              <c:y val="0.1231482469109590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Table'!$F$5</c:f>
              <c:strCache>
                <c:ptCount val="1"/>
                <c:pt idx="0">
                  <c:v>Total</c:v>
                </c:pt>
              </c:strCache>
            </c:strRef>
          </c:tx>
          <c:spPr>
            <a:ln>
              <a:noFill/>
            </a:ln>
          </c:spPr>
          <c:dPt>
            <c:idx val="0"/>
            <c:bubble3D val="0"/>
            <c:spPr>
              <a:solidFill>
                <a:schemeClr val="tx1"/>
              </a:solidFill>
              <a:ln w="19050">
                <a:noFill/>
              </a:ln>
              <a:effectLst/>
            </c:spPr>
            <c:extLst>
              <c:ext xmlns:c16="http://schemas.microsoft.com/office/drawing/2014/chart" uri="{C3380CC4-5D6E-409C-BE32-E72D297353CC}">
                <c16:uniqueId val="{00000001-D5C0-4C5C-BA50-DD514626D003}"/>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D5C0-4C5C-BA50-DD514626D003}"/>
              </c:ext>
            </c:extLst>
          </c:dPt>
          <c:dLbls>
            <c:dLbl>
              <c:idx val="0"/>
              <c:layout>
                <c:manualLayout>
                  <c:x val="0.25175447290871422"/>
                  <c:y val="-0.12962973359048335"/>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D5C0-4C5C-BA50-DD514626D003}"/>
                </c:ext>
              </c:extLst>
            </c:dLbl>
            <c:dLbl>
              <c:idx val="1"/>
              <c:layout>
                <c:manualLayout>
                  <c:x val="-0.14736847194656441"/>
                  <c:y val="0.123148246910959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C0-4C5C-BA50-DD514626D00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Table'!$E$6:$E$8</c:f>
              <c:strCache>
                <c:ptCount val="2"/>
                <c:pt idx="0">
                  <c:v>Female</c:v>
                </c:pt>
                <c:pt idx="1">
                  <c:v>Male</c:v>
                </c:pt>
              </c:strCache>
            </c:strRef>
          </c:cat>
          <c:val>
            <c:numRef>
              <c:f>'Pivot Table'!$F$6:$F$8</c:f>
              <c:numCache>
                <c:formatCode>#,##0.0%;\-#,##0.0%;#,##0.0%</c:formatCode>
                <c:ptCount val="2"/>
                <c:pt idx="0">
                  <c:v>0.20192307692307693</c:v>
                </c:pt>
                <c:pt idx="1">
                  <c:v>0.7078651685393258</c:v>
                </c:pt>
              </c:numCache>
            </c:numRef>
          </c:val>
          <c:extLst>
            <c:ext xmlns:c16="http://schemas.microsoft.com/office/drawing/2014/chart" uri="{C3380CC4-5D6E-409C-BE32-E72D297353CC}">
              <c16:uniqueId val="{00000011-0BDB-4BF1-B4FF-22782BEBDB2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
          <c:y val="0.83877225331691352"/>
          <c:w val="0.41541797925309465"/>
          <c:h val="8.3070210867494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Table!PivotTable6</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Table'!$H$12:$H$14</c:f>
              <c:strCache>
                <c:ptCount val="2"/>
                <c:pt idx="0">
                  <c:v>Lagos</c:v>
                </c:pt>
                <c:pt idx="1">
                  <c:v>Rivers</c:v>
                </c:pt>
              </c:strCache>
            </c:strRef>
          </c:cat>
          <c:val>
            <c:numRef>
              <c:f>'Pivot Table'!$I$12:$I$14</c:f>
              <c:numCache>
                <c:formatCode>#,##0.0%;\-#,##0.0%;#,##0.0%</c:formatCode>
                <c:ptCount val="2"/>
                <c:pt idx="0">
                  <c:v>0.44117647058823528</c:v>
                </c:pt>
                <c:pt idx="1">
                  <c:v>0.42857142857142855</c:v>
                </c:pt>
              </c:numCache>
            </c:numRef>
          </c:val>
          <c:extLst>
            <c:ext xmlns:c16="http://schemas.microsoft.com/office/drawing/2014/chart" uri="{C3380CC4-5D6E-409C-BE32-E72D297353CC}">
              <c16:uniqueId val="{0000000D-FDC5-40DD-9C2B-4DF4092E8FCC}"/>
            </c:ext>
          </c:extLst>
        </c:ser>
        <c:dLbls>
          <c:dLblPos val="outEnd"/>
          <c:showLegendKey val="0"/>
          <c:showVal val="1"/>
          <c:showCatName val="0"/>
          <c:showSerName val="0"/>
          <c:showPercent val="0"/>
          <c:showBubbleSize val="0"/>
        </c:dLbls>
        <c:gapWidth val="219"/>
        <c:overlap val="-27"/>
        <c:axId val="505678128"/>
        <c:axId val="505677144"/>
      </c:barChart>
      <c:catAx>
        <c:axId val="505678128"/>
        <c:scaling>
          <c:orientation val="minMax"/>
        </c:scaling>
        <c:delete val="0"/>
        <c:axPos val="b"/>
        <c:numFmt formatCode="General" sourceLinked="1"/>
        <c:majorTickMark val="none"/>
        <c:minorTickMark val="none"/>
        <c:tickLblPos val="nextTo"/>
        <c:spPr>
          <a:noFill/>
          <a:ln w="9525" cap="flat" cmpd="sng" algn="ctr">
            <a:solidFill>
              <a:srgbClr val="1A1208"/>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505677144"/>
        <c:crosses val="autoZero"/>
        <c:auto val="1"/>
        <c:lblAlgn val="ctr"/>
        <c:lblOffset val="100"/>
        <c:noMultiLvlLbl val="0"/>
      </c:catAx>
      <c:valAx>
        <c:axId val="505677144"/>
        <c:scaling>
          <c:orientation val="minMax"/>
        </c:scaling>
        <c:delete val="1"/>
        <c:axPos val="l"/>
        <c:numFmt formatCode="#,##0.0%;\-#,##0.0%;#,##0.0%" sourceLinked="1"/>
        <c:majorTickMark val="none"/>
        <c:minorTickMark val="none"/>
        <c:tickLblPos val="nextTo"/>
        <c:crossAx val="50567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Table!PivotTable5</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Table'!$H$3:$H$9</c:f>
              <c:strCache>
                <c:ptCount val="6"/>
                <c:pt idx="0">
                  <c:v>Ahmed</c:v>
                </c:pt>
                <c:pt idx="1">
                  <c:v>Chioma</c:v>
                </c:pt>
                <c:pt idx="2">
                  <c:v>Chukwudi</c:v>
                </c:pt>
                <c:pt idx="3">
                  <c:v>Funmi</c:v>
                </c:pt>
                <c:pt idx="4">
                  <c:v>Ngozi</c:v>
                </c:pt>
                <c:pt idx="5">
                  <c:v>Olumide</c:v>
                </c:pt>
              </c:strCache>
            </c:strRef>
          </c:cat>
          <c:val>
            <c:numRef>
              <c:f>'Pivot Table'!$I$3:$I$9</c:f>
              <c:numCache>
                <c:formatCode>#,##0.0%;\-#,##0.0%;#,##0.0%</c:formatCode>
                <c:ptCount val="6"/>
                <c:pt idx="0">
                  <c:v>0.40625</c:v>
                </c:pt>
                <c:pt idx="1">
                  <c:v>0.35483870967741937</c:v>
                </c:pt>
                <c:pt idx="2">
                  <c:v>0.48571428571428571</c:v>
                </c:pt>
                <c:pt idx="3">
                  <c:v>0.4</c:v>
                </c:pt>
                <c:pt idx="4">
                  <c:v>0.35714285714285715</c:v>
                </c:pt>
                <c:pt idx="5">
                  <c:v>0.62962962962962965</c:v>
                </c:pt>
              </c:numCache>
            </c:numRef>
          </c:val>
          <c:extLst>
            <c:ext xmlns:c16="http://schemas.microsoft.com/office/drawing/2014/chart" uri="{C3380CC4-5D6E-409C-BE32-E72D297353CC}">
              <c16:uniqueId val="{0000000D-A19B-4390-B1F8-4767E96873AC}"/>
            </c:ext>
          </c:extLst>
        </c:ser>
        <c:dLbls>
          <c:dLblPos val="outEnd"/>
          <c:showLegendKey val="0"/>
          <c:showVal val="1"/>
          <c:showCatName val="0"/>
          <c:showSerName val="0"/>
          <c:showPercent val="0"/>
          <c:showBubbleSize val="0"/>
        </c:dLbls>
        <c:gapWidth val="219"/>
        <c:overlap val="-27"/>
        <c:axId val="528430720"/>
        <c:axId val="528432688"/>
      </c:barChart>
      <c:catAx>
        <c:axId val="52843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528432688"/>
        <c:crosses val="autoZero"/>
        <c:auto val="1"/>
        <c:lblAlgn val="ctr"/>
        <c:lblOffset val="100"/>
        <c:noMultiLvlLbl val="0"/>
      </c:catAx>
      <c:valAx>
        <c:axId val="528432688"/>
        <c:scaling>
          <c:orientation val="minMax"/>
        </c:scaling>
        <c:delete val="1"/>
        <c:axPos val="l"/>
        <c:numFmt formatCode="#,##0.0%;\-#,##0.0%;#,##0.0%" sourceLinked="1"/>
        <c:majorTickMark val="none"/>
        <c:minorTickMark val="none"/>
        <c:tickLblPos val="nextTo"/>
        <c:crossAx val="52843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Table!PivotTable7</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Table'!$E$17:$E$19</c:f>
              <c:strCache>
                <c:ptCount val="2"/>
                <c:pt idx="0">
                  <c:v>Commercial</c:v>
                </c:pt>
                <c:pt idx="1">
                  <c:v>Residential</c:v>
                </c:pt>
              </c:strCache>
            </c:strRef>
          </c:cat>
          <c:val>
            <c:numRef>
              <c:f>'Pivot Table'!$F$17:$F$19</c:f>
              <c:numCache>
                <c:formatCode>#,##0.0%;\-#,##0.0%;#,##0.0%</c:formatCode>
                <c:ptCount val="2"/>
                <c:pt idx="0">
                  <c:v>0.34426229508196721</c:v>
                </c:pt>
                <c:pt idx="1">
                  <c:v>0.65625</c:v>
                </c:pt>
              </c:numCache>
            </c:numRef>
          </c:val>
          <c:extLst>
            <c:ext xmlns:c16="http://schemas.microsoft.com/office/drawing/2014/chart" uri="{C3380CC4-5D6E-409C-BE32-E72D297353CC}">
              <c16:uniqueId val="{00000000-0CCD-4184-A286-D46D6DAF9D5A}"/>
            </c:ext>
          </c:extLst>
        </c:ser>
        <c:dLbls>
          <c:dLblPos val="outEnd"/>
          <c:showLegendKey val="0"/>
          <c:showVal val="1"/>
          <c:showCatName val="0"/>
          <c:showSerName val="0"/>
          <c:showPercent val="0"/>
          <c:showBubbleSize val="0"/>
        </c:dLbls>
        <c:gapWidth val="182"/>
        <c:axId val="493064336"/>
        <c:axId val="493057448"/>
      </c:barChart>
      <c:catAx>
        <c:axId val="493064336"/>
        <c:scaling>
          <c:orientation val="minMax"/>
        </c:scaling>
        <c:delete val="0"/>
        <c:axPos val="l"/>
        <c:numFmt formatCode="General" sourceLinked="1"/>
        <c:majorTickMark val="none"/>
        <c:minorTickMark val="none"/>
        <c:tickLblPos val="nextTo"/>
        <c:spPr>
          <a:noFill/>
          <a:ln w="9525" cap="flat" cmpd="sng" algn="ctr">
            <a:solidFill>
              <a:srgbClr val="1A1208"/>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493057448"/>
        <c:crosses val="autoZero"/>
        <c:auto val="1"/>
        <c:lblAlgn val="ctr"/>
        <c:lblOffset val="100"/>
        <c:noMultiLvlLbl val="0"/>
      </c:catAx>
      <c:valAx>
        <c:axId val="493057448"/>
        <c:scaling>
          <c:orientation val="minMax"/>
        </c:scaling>
        <c:delete val="1"/>
        <c:axPos val="b"/>
        <c:numFmt formatCode="#,##0.0%;\-#,##0.0%;#,##0.0%" sourceLinked="1"/>
        <c:majorTickMark val="none"/>
        <c:minorTickMark val="none"/>
        <c:tickLblPos val="nextTo"/>
        <c:crossAx val="49306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4.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3.xml"/><Relationship Id="rId16" Type="http://schemas.openxmlformats.org/officeDocument/2006/relationships/image" Target="../media/image11.jpeg"/><Relationship Id="rId1" Type="http://schemas.openxmlformats.org/officeDocument/2006/relationships/chart" Target="../charts/chart2.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6.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5.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8</xdr:col>
      <xdr:colOff>377190</xdr:colOff>
      <xdr:row>21</xdr:row>
      <xdr:rowOff>160020</xdr:rowOff>
    </xdr:from>
    <xdr:to>
      <xdr:col>16</xdr:col>
      <xdr:colOff>72390</xdr:colOff>
      <xdr:row>36</xdr:row>
      <xdr:rowOff>160020</xdr:rowOff>
    </xdr:to>
    <xdr:graphicFrame macro="">
      <xdr:nvGraphicFramePr>
        <xdr:cNvPr id="3" name="Chart 2">
          <a:extLst>
            <a:ext uri="{FF2B5EF4-FFF2-40B4-BE49-F238E27FC236}">
              <a16:creationId xmlns:a16="http://schemas.microsoft.com/office/drawing/2014/main" id="{81536D3C-7A39-743A-ABC0-109B553D7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10887</xdr:colOff>
      <xdr:row>25</xdr:row>
      <xdr:rowOff>76201</xdr:rowOff>
    </xdr:from>
    <xdr:to>
      <xdr:col>7</xdr:col>
      <xdr:colOff>598715</xdr:colOff>
      <xdr:row>38</xdr:row>
      <xdr:rowOff>97973</xdr:rowOff>
    </xdr:to>
    <xdr:graphicFrame macro="">
      <xdr:nvGraphicFramePr>
        <xdr:cNvPr id="2" name="Chart 1">
          <a:extLst>
            <a:ext uri="{FF2B5EF4-FFF2-40B4-BE49-F238E27FC236}">
              <a16:creationId xmlns:a16="http://schemas.microsoft.com/office/drawing/2014/main" id="{CCBE1E17-A499-4A3A-9629-D6CA1E60A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10887</xdr:colOff>
      <xdr:row>25</xdr:row>
      <xdr:rowOff>43544</xdr:rowOff>
    </xdr:from>
    <xdr:to>
      <xdr:col>11</xdr:col>
      <xdr:colOff>870857</xdr:colOff>
      <xdr:row>38</xdr:row>
      <xdr:rowOff>174172</xdr:rowOff>
    </xdr:to>
    <xdr:graphicFrame macro="">
      <xdr:nvGraphicFramePr>
        <xdr:cNvPr id="3" name="Chart 2">
          <a:extLst>
            <a:ext uri="{FF2B5EF4-FFF2-40B4-BE49-F238E27FC236}">
              <a16:creationId xmlns:a16="http://schemas.microsoft.com/office/drawing/2014/main" id="{70CB4B4E-5929-40B8-9CCE-C56DAAF6F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28</xdr:row>
      <xdr:rowOff>32658</xdr:rowOff>
    </xdr:from>
    <xdr:to>
      <xdr:col>3</xdr:col>
      <xdr:colOff>566057</xdr:colOff>
      <xdr:row>38</xdr:row>
      <xdr:rowOff>97973</xdr:rowOff>
    </xdr:to>
    <xdr:graphicFrame macro="">
      <xdr:nvGraphicFramePr>
        <xdr:cNvPr id="4" name="Chart 3">
          <a:extLst>
            <a:ext uri="{FF2B5EF4-FFF2-40B4-BE49-F238E27FC236}">
              <a16:creationId xmlns:a16="http://schemas.microsoft.com/office/drawing/2014/main" id="{6CC0301E-093B-4604-BA97-17D116C69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10884</xdr:colOff>
      <xdr:row>12</xdr:row>
      <xdr:rowOff>54428</xdr:rowOff>
    </xdr:from>
    <xdr:to>
      <xdr:col>17</xdr:col>
      <xdr:colOff>696685</xdr:colOff>
      <xdr:row>22</xdr:row>
      <xdr:rowOff>141514</xdr:rowOff>
    </xdr:to>
    <xdr:graphicFrame macro="">
      <xdr:nvGraphicFramePr>
        <xdr:cNvPr id="5" name="Chart 4">
          <a:extLst>
            <a:ext uri="{FF2B5EF4-FFF2-40B4-BE49-F238E27FC236}">
              <a16:creationId xmlns:a16="http://schemas.microsoft.com/office/drawing/2014/main" id="{9EC5E126-47FD-4663-93E2-46E6C3519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10886</xdr:colOff>
      <xdr:row>25</xdr:row>
      <xdr:rowOff>10886</xdr:rowOff>
    </xdr:from>
    <xdr:to>
      <xdr:col>18</xdr:col>
      <xdr:colOff>0</xdr:colOff>
      <xdr:row>38</xdr:row>
      <xdr:rowOff>152400</xdr:rowOff>
    </xdr:to>
    <xdr:graphicFrame macro="">
      <xdr:nvGraphicFramePr>
        <xdr:cNvPr id="6" name="Chart 5">
          <a:extLst>
            <a:ext uri="{FF2B5EF4-FFF2-40B4-BE49-F238E27FC236}">
              <a16:creationId xmlns:a16="http://schemas.microsoft.com/office/drawing/2014/main" id="{42A349CB-0C4F-4317-A064-DA095EC35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446315</xdr:colOff>
      <xdr:row>18</xdr:row>
      <xdr:rowOff>0</xdr:rowOff>
    </xdr:from>
    <xdr:to>
      <xdr:col>8</xdr:col>
      <xdr:colOff>32658</xdr:colOff>
      <xdr:row>21</xdr:row>
      <xdr:rowOff>87088</xdr:rowOff>
    </xdr:to>
    <xdr:pic>
      <xdr:nvPicPr>
        <xdr:cNvPr id="8" name="Graphic 7" descr="Handshake with solid fill">
          <a:extLst>
            <a:ext uri="{FF2B5EF4-FFF2-40B4-BE49-F238E27FC236}">
              <a16:creationId xmlns:a16="http://schemas.microsoft.com/office/drawing/2014/main" id="{8E6E29F6-0632-49A1-299F-BFE03F3430D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211286" y="3516086"/>
          <a:ext cx="805543" cy="609602"/>
        </a:xfrm>
        <a:prstGeom prst="rect">
          <a:avLst/>
        </a:prstGeom>
      </xdr:spPr>
    </xdr:pic>
    <xdr:clientData/>
  </xdr:twoCellAnchor>
  <xdr:twoCellAnchor editAs="oneCell">
    <xdr:from>
      <xdr:col>10</xdr:col>
      <xdr:colOff>381000</xdr:colOff>
      <xdr:row>18</xdr:row>
      <xdr:rowOff>108857</xdr:rowOff>
    </xdr:from>
    <xdr:to>
      <xdr:col>11</xdr:col>
      <xdr:colOff>827313</xdr:colOff>
      <xdr:row>21</xdr:row>
      <xdr:rowOff>380999</xdr:rowOff>
    </xdr:to>
    <xdr:pic>
      <xdr:nvPicPr>
        <xdr:cNvPr id="10" name="Graphic 9" descr="Stopwatch with solid fill">
          <a:extLst>
            <a:ext uri="{FF2B5EF4-FFF2-40B4-BE49-F238E27FC236}">
              <a16:creationId xmlns:a16="http://schemas.microsoft.com/office/drawing/2014/main" id="{D648AD23-3B1F-1532-06E6-531935241B4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225143" y="3624943"/>
          <a:ext cx="1284513" cy="794656"/>
        </a:xfrm>
        <a:prstGeom prst="rect">
          <a:avLst/>
        </a:prstGeom>
      </xdr:spPr>
    </xdr:pic>
    <xdr:clientData/>
  </xdr:twoCellAnchor>
  <xdr:twoCellAnchor editAs="oneCell">
    <xdr:from>
      <xdr:col>10</xdr:col>
      <xdr:colOff>435428</xdr:colOff>
      <xdr:row>9</xdr:row>
      <xdr:rowOff>119741</xdr:rowOff>
    </xdr:from>
    <xdr:to>
      <xdr:col>11</xdr:col>
      <xdr:colOff>816429</xdr:colOff>
      <xdr:row>14</xdr:row>
      <xdr:rowOff>108857</xdr:rowOff>
    </xdr:to>
    <xdr:pic>
      <xdr:nvPicPr>
        <xdr:cNvPr id="12" name="Graphic 11" descr="Money with solid fill">
          <a:extLst>
            <a:ext uri="{FF2B5EF4-FFF2-40B4-BE49-F238E27FC236}">
              <a16:creationId xmlns:a16="http://schemas.microsoft.com/office/drawing/2014/main" id="{7D4480C9-FD94-697D-27D6-B9A65A31522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279571" y="1959427"/>
          <a:ext cx="1219201" cy="914401"/>
        </a:xfrm>
        <a:prstGeom prst="rect">
          <a:avLst/>
        </a:prstGeom>
      </xdr:spPr>
    </xdr:pic>
    <xdr:clientData/>
  </xdr:twoCellAnchor>
  <xdr:twoCellAnchor editAs="oneCell">
    <xdr:from>
      <xdr:col>6</xdr:col>
      <xdr:colOff>326572</xdr:colOff>
      <xdr:row>10</xdr:row>
      <xdr:rowOff>43543</xdr:rowOff>
    </xdr:from>
    <xdr:to>
      <xdr:col>7</xdr:col>
      <xdr:colOff>522514</xdr:colOff>
      <xdr:row>14</xdr:row>
      <xdr:rowOff>43543</xdr:rowOff>
    </xdr:to>
    <xdr:pic>
      <xdr:nvPicPr>
        <xdr:cNvPr id="14" name="Graphic 13" descr="Users with solid fill">
          <a:extLst>
            <a:ext uri="{FF2B5EF4-FFF2-40B4-BE49-F238E27FC236}">
              <a16:creationId xmlns:a16="http://schemas.microsoft.com/office/drawing/2014/main" id="{AABBC302-B0C6-3D37-1768-3A8E333E62B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091543" y="2024743"/>
          <a:ext cx="805542" cy="783771"/>
        </a:xfrm>
        <a:prstGeom prst="rect">
          <a:avLst/>
        </a:prstGeom>
      </xdr:spPr>
    </xdr:pic>
    <xdr:clientData/>
  </xdr:twoCellAnchor>
  <xdr:twoCellAnchor editAs="oneCell">
    <xdr:from>
      <xdr:col>0</xdr:col>
      <xdr:colOff>0</xdr:colOff>
      <xdr:row>0</xdr:row>
      <xdr:rowOff>130627</xdr:rowOff>
    </xdr:from>
    <xdr:to>
      <xdr:col>2</xdr:col>
      <xdr:colOff>326571</xdr:colOff>
      <xdr:row>8</xdr:row>
      <xdr:rowOff>10885</xdr:rowOff>
    </xdr:to>
    <xdr:pic>
      <xdr:nvPicPr>
        <xdr:cNvPr id="15" name="Graphic 14" descr="Building with solid fill">
          <a:extLst>
            <a:ext uri="{FF2B5EF4-FFF2-40B4-BE49-F238E27FC236}">
              <a16:creationId xmlns:a16="http://schemas.microsoft.com/office/drawing/2014/main" id="{3B12A2EF-AA61-41F1-9C78-D433B63D69E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0" y="130627"/>
          <a:ext cx="1099457" cy="1491344"/>
        </a:xfrm>
        <a:prstGeom prst="rect">
          <a:avLst/>
        </a:prstGeom>
      </xdr:spPr>
    </xdr:pic>
    <xdr:clientData/>
  </xdr:twoCellAnchor>
  <xdr:twoCellAnchor editAs="oneCell">
    <xdr:from>
      <xdr:col>16</xdr:col>
      <xdr:colOff>495833</xdr:colOff>
      <xdr:row>0</xdr:row>
      <xdr:rowOff>103734</xdr:rowOff>
    </xdr:from>
    <xdr:to>
      <xdr:col>18</xdr:col>
      <xdr:colOff>17075</xdr:colOff>
      <xdr:row>3</xdr:row>
      <xdr:rowOff>163285</xdr:rowOff>
    </xdr:to>
    <xdr:pic>
      <xdr:nvPicPr>
        <xdr:cNvPr id="18" name="Picture 17">
          <a:extLst>
            <a:ext uri="{FF2B5EF4-FFF2-40B4-BE49-F238E27FC236}">
              <a16:creationId xmlns:a16="http://schemas.microsoft.com/office/drawing/2014/main" id="{07856CD5-2D55-3A2C-53A9-886223DBE3B4}"/>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7189" r="10457"/>
        <a:stretch/>
      </xdr:blipFill>
      <xdr:spPr>
        <a:xfrm>
          <a:off x="9454776" y="103734"/>
          <a:ext cx="1001699" cy="680037"/>
        </a:xfrm>
        <a:prstGeom prst="rect">
          <a:avLst/>
        </a:prstGeom>
      </xdr:spPr>
    </xdr:pic>
    <xdr:clientData/>
  </xdr:twoCellAnchor>
  <xdr:twoCellAnchor editAs="oneCell">
    <xdr:from>
      <xdr:col>1</xdr:col>
      <xdr:colOff>1</xdr:colOff>
      <xdr:row>18</xdr:row>
      <xdr:rowOff>10886</xdr:rowOff>
    </xdr:from>
    <xdr:to>
      <xdr:col>3</xdr:col>
      <xdr:colOff>587829</xdr:colOff>
      <xdr:row>23</xdr:row>
      <xdr:rowOff>119744</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4A7413DB-3A3D-E9F7-4607-C168B5FB056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3287" y="3657599"/>
              <a:ext cx="1807028" cy="143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10885</xdr:colOff>
      <xdr:row>14</xdr:row>
      <xdr:rowOff>97974</xdr:rowOff>
    </xdr:from>
    <xdr:to>
      <xdr:col>3</xdr:col>
      <xdr:colOff>587828</xdr:colOff>
      <xdr:row>17</xdr:row>
      <xdr:rowOff>108857</xdr:rowOff>
    </xdr:to>
    <mc:AlternateContent xmlns:mc="http://schemas.openxmlformats.org/markup-compatibility/2006" xmlns:a14="http://schemas.microsoft.com/office/drawing/2010/main">
      <mc:Choice Requires="a14">
        <xdr:graphicFrame macro="">
          <xdr:nvGraphicFramePr>
            <xdr:cNvPr id="9" name="Client Gender">
              <a:extLst>
                <a:ext uri="{FF2B5EF4-FFF2-40B4-BE49-F238E27FC236}">
                  <a16:creationId xmlns:a16="http://schemas.microsoft.com/office/drawing/2014/main" id="{2046F306-EAFD-1C44-139E-C7F55F09D00E}"/>
                </a:ext>
              </a:extLst>
            </xdr:cNvPr>
            <xdr:cNvGraphicFramePr/>
          </xdr:nvGraphicFramePr>
          <xdr:xfrm>
            <a:off x="0" y="0"/>
            <a:ext cx="0" cy="0"/>
          </xdr:xfrm>
          <a:graphic>
            <a:graphicData uri="http://schemas.microsoft.com/office/drawing/2010/slicer">
              <sle:slicer xmlns:sle="http://schemas.microsoft.com/office/drawing/2010/slicer" name="Client Gender"/>
            </a:graphicData>
          </a:graphic>
        </xdr:graphicFrame>
      </mc:Choice>
      <mc:Fallback xmlns="">
        <xdr:sp macro="" textlink="">
          <xdr:nvSpPr>
            <xdr:cNvPr id="0" name=""/>
            <xdr:cNvSpPr>
              <a:spLocks noTextEdit="1"/>
            </xdr:cNvSpPr>
          </xdr:nvSpPr>
          <xdr:spPr>
            <a:xfrm>
              <a:off x="174171" y="2862945"/>
              <a:ext cx="1796143" cy="772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9</xdr:row>
      <xdr:rowOff>97973</xdr:rowOff>
    </xdr:from>
    <xdr:to>
      <xdr:col>3</xdr:col>
      <xdr:colOff>576942</xdr:colOff>
      <xdr:row>14</xdr:row>
      <xdr:rowOff>163286</xdr:rowOff>
    </xdr:to>
    <mc:AlternateContent xmlns:mc="http://schemas.openxmlformats.org/markup-compatibility/2006" xmlns:a14="http://schemas.microsoft.com/office/drawing/2010/main">
      <mc:Choice Requires="a14">
        <xdr:graphicFrame macro="">
          <xdr:nvGraphicFramePr>
            <xdr:cNvPr id="11" name="Inspection">
              <a:extLst>
                <a:ext uri="{FF2B5EF4-FFF2-40B4-BE49-F238E27FC236}">
                  <a16:creationId xmlns:a16="http://schemas.microsoft.com/office/drawing/2014/main" id="{1F41C408-6C28-9EAD-553D-63AF9ECF1980}"/>
                </a:ext>
              </a:extLst>
            </xdr:cNvPr>
            <xdr:cNvGraphicFramePr/>
          </xdr:nvGraphicFramePr>
          <xdr:xfrm>
            <a:off x="0" y="0"/>
            <a:ext cx="0" cy="0"/>
          </xdr:xfrm>
          <a:graphic>
            <a:graphicData uri="http://schemas.microsoft.com/office/drawing/2010/slicer">
              <sle:slicer xmlns:sle="http://schemas.microsoft.com/office/drawing/2010/slicer" name="Inspection"/>
            </a:graphicData>
          </a:graphic>
        </xdr:graphicFrame>
      </mc:Choice>
      <mc:Fallback xmlns="">
        <xdr:sp macro="" textlink="">
          <xdr:nvSpPr>
            <xdr:cNvPr id="0" name=""/>
            <xdr:cNvSpPr>
              <a:spLocks noTextEdit="1"/>
            </xdr:cNvSpPr>
          </xdr:nvSpPr>
          <xdr:spPr>
            <a:xfrm>
              <a:off x="163286" y="1937659"/>
              <a:ext cx="1796142" cy="990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53.609865162034" backgroundQuery="1" createdVersion="8" refreshedVersion="8" minRefreshableVersion="3" recordCount="0" supportSubquery="1" supportAdvancedDrill="1" xr:uid="{81BE9A6E-CAB0-40D1-ACB4-B897B9A222E1}">
  <cacheSource type="external" connectionId="2"/>
  <cacheFields count="2">
    <cacheField name="[Measures].[CR%]" caption="CR%" numFmtId="0" hierarchy="9" level="32767"/>
    <cacheField name="[Dataset].[Product].[Product]" caption="Product" numFmtId="0" hierarchy="5" level="1">
      <sharedItems count="2">
        <s v="Commercial"/>
        <s v="Residential"/>
      </sharedItems>
    </cacheField>
  </cacheFields>
  <cacheHierarchies count="12">
    <cacheHierarchy uniqueName="[Dataset].[Client ID]" caption="Client ID" attribute="1" defaultMemberUniqueName="[Dataset].[Client ID].[All]" allUniqueName="[Dataset].[Client ID].[All]" dimensionUniqueName="[Dataset]" displayFolder="" count="2" memberValueDatatype="130" unbalanced="0"/>
    <cacheHierarchy uniqueName="[Dataset].[Client Gender]" caption="Client Gender" attribute="1" defaultMemberUniqueName="[Dataset].[Client Gender].[All]" allUniqueName="[Dataset].[Client Gender].[All]" dimensionUniqueName="[Dataset]" displayFolder="" count="2" memberValueDatatype="130" unbalanced="0"/>
    <cacheHierarchy uniqueName="[Dataset].[Sales Person]" caption="Sales Person" attribute="1" defaultMemberUniqueName="[Dataset].[Sales Person].[All]" allUniqueName="[Dataset].[Sales Person].[All]" dimensionUniqueName="[Dataset]" displayFolder="" count="2" memberValueDatatype="130" unbalanced="0"/>
    <cacheHierarchy uniqueName="[Dataset].[Sales]" caption="Sales" attribute="1" defaultMemberUniqueName="[Dataset].[Sales].[All]" allUniqueName="[Dataset].[Sales].[All]" dimensionUniqueName="[Dataset]" displayFolder="" count="2"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Product]" caption="Product" attribute="1" defaultMemberUniqueName="[Dataset].[Product].[All]" allUniqueName="[Dataset].[Product].[All]" dimensionUniqueName="[Dataset]" displayFolder="" count="2" memberValueDatatype="130" unbalanced="0">
      <fieldsUsage count="2">
        <fieldUsage x="-1"/>
        <fieldUsage x="1"/>
      </fieldsUsage>
    </cacheHierarchy>
    <cacheHierarchy uniqueName="[Dataset].[Inspection]" caption="Inspection" attribute="1" defaultMemberUniqueName="[Dataset].[Inspection].[All]" allUniqueName="[Dataset].[Inspection].[All]" dimensionUniqueName="[Dataset]" displayFolder="" count="2" memberValueDatatype="130" unbalanced="0"/>
    <cacheHierarchy uniqueName="[Measures].[Total Leads]" caption="Total Leads" measure="1" displayFolder="" measureGroup="Dataset" count="0"/>
    <cacheHierarchy uniqueName="[Measures].[Total Paid]" caption="Total Paid" measure="1" displayFolder="" measureGroup="Dataset" count="0"/>
    <cacheHierarchy uniqueName="[Measures].[CR%]" caption="CR%" measure="1" displayFolder="" measureGroup="Dataset" count="0" oneField="1">
      <fieldsUsage count="1">
        <fieldUsage x="0"/>
      </fieldsUsage>
    </cacheHierarchy>
    <cacheHierarchy uniqueName="[Measures].[__XL_Count Dataset]" caption="__XL_Count Dataset" measure="1" displayFolder="" measureGroup="Dataset" count="0" hidden="1"/>
    <cacheHierarchy uniqueName="[Measures].[__No measures defined]" caption="__No measures defined" measure="1" displayFolder="" count="0" hidden="1"/>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53.609866203704" backgroundQuery="1" createdVersion="8" refreshedVersion="8" minRefreshableVersion="3" recordCount="0" supportSubquery="1" supportAdvancedDrill="1" xr:uid="{56712C2E-E447-4859-8125-D7A16A9F2196}">
  <cacheSource type="external" connectionId="2"/>
  <cacheFields count="2">
    <cacheField name="[Measures].[CR%]" caption="CR%" numFmtId="0" hierarchy="9" level="32767"/>
    <cacheField name="[Dataset].[Client Gender].[Client Gender]" caption="Client Gender" numFmtId="0" hierarchy="1" level="1">
      <sharedItems count="2">
        <s v="Female"/>
        <s v="Male"/>
      </sharedItems>
    </cacheField>
  </cacheFields>
  <cacheHierarchies count="12">
    <cacheHierarchy uniqueName="[Dataset].[Client ID]" caption="Client ID" attribute="1" defaultMemberUniqueName="[Dataset].[Client ID].[All]" allUniqueName="[Dataset].[Client ID].[All]" dimensionUniqueName="[Dataset]" displayFolder="" count="2" memberValueDatatype="130" unbalanced="0"/>
    <cacheHierarchy uniqueName="[Dataset].[Client Gender]" caption="Client Gender" attribute="1" defaultMemberUniqueName="[Dataset].[Client Gender].[All]" allUniqueName="[Dataset].[Client Gender].[All]" dimensionUniqueName="[Dataset]" displayFolder="" count="2" memberValueDatatype="130" unbalanced="0">
      <fieldsUsage count="2">
        <fieldUsage x="-1"/>
        <fieldUsage x="1"/>
      </fieldsUsage>
    </cacheHierarchy>
    <cacheHierarchy uniqueName="[Dataset].[Sales Person]" caption="Sales Person" attribute="1" defaultMemberUniqueName="[Dataset].[Sales Person].[All]" allUniqueName="[Dataset].[Sales Person].[All]" dimensionUniqueName="[Dataset]" displayFolder="" count="2" memberValueDatatype="130" unbalanced="0"/>
    <cacheHierarchy uniqueName="[Dataset].[Sales]" caption="Sales" attribute="1" defaultMemberUniqueName="[Dataset].[Sales].[All]" allUniqueName="[Dataset].[Sales].[All]" dimensionUniqueName="[Dataset]" displayFolder="" count="2"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Product]" caption="Product" attribute="1" defaultMemberUniqueName="[Dataset].[Product].[All]" allUniqueName="[Dataset].[Product].[All]" dimensionUniqueName="[Dataset]" displayFolder="" count="2" memberValueDatatype="130" unbalanced="0"/>
    <cacheHierarchy uniqueName="[Dataset].[Inspection]" caption="Inspection" attribute="1" defaultMemberUniqueName="[Dataset].[Inspection].[All]" allUniqueName="[Dataset].[Inspection].[All]" dimensionUniqueName="[Dataset]" displayFolder="" count="2" memberValueDatatype="130" unbalanced="0"/>
    <cacheHierarchy uniqueName="[Measures].[Total Leads]" caption="Total Leads" measure="1" displayFolder="" measureGroup="Dataset" count="0"/>
    <cacheHierarchy uniqueName="[Measures].[Total Paid]" caption="Total Paid" measure="1" displayFolder="" measureGroup="Dataset" count="0"/>
    <cacheHierarchy uniqueName="[Measures].[CR%]" caption="CR%" measure="1" displayFolder="" measureGroup="Dataset" count="0" oneField="1">
      <fieldsUsage count="1">
        <fieldUsage x="0"/>
      </fieldsUsage>
    </cacheHierarchy>
    <cacheHierarchy uniqueName="[Measures].[__XL_Count Dataset]" caption="__XL_Count Dataset" measure="1" displayFolder="" measureGroup="Dataset" count="0" hidden="1"/>
    <cacheHierarchy uniqueName="[Measures].[__No measures defined]" caption="__No measures defined" measure="1" displayFolder="" count="0" hidden="1"/>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53.60986689815" backgroundQuery="1" createdVersion="8" refreshedVersion="8" minRefreshableVersion="3" recordCount="0" supportSubquery="1" supportAdvancedDrill="1" xr:uid="{FA78F75F-E5BB-4FB8-A712-D8360A2A29EF}">
  <cacheSource type="external" connectionId="2"/>
  <cacheFields count="2">
    <cacheField name="[Measures].[CR%]" caption="CR%" numFmtId="0" hierarchy="9" level="32767"/>
    <cacheField name="[Dataset].[State].[State]" caption="State" numFmtId="0" hierarchy="4" level="1">
      <sharedItems count="2">
        <s v="Lagos"/>
        <s v="Rivers"/>
      </sharedItems>
    </cacheField>
  </cacheFields>
  <cacheHierarchies count="12">
    <cacheHierarchy uniqueName="[Dataset].[Client ID]" caption="Client ID" attribute="1" defaultMemberUniqueName="[Dataset].[Client ID].[All]" allUniqueName="[Dataset].[Client ID].[All]" dimensionUniqueName="[Dataset]" displayFolder="" count="2" memberValueDatatype="130" unbalanced="0"/>
    <cacheHierarchy uniqueName="[Dataset].[Client Gender]" caption="Client Gender" attribute="1" defaultMemberUniqueName="[Dataset].[Client Gender].[All]" allUniqueName="[Dataset].[Client Gender].[All]" dimensionUniqueName="[Dataset]" displayFolder="" count="2" memberValueDatatype="130" unbalanced="0"/>
    <cacheHierarchy uniqueName="[Dataset].[Sales Person]" caption="Sales Person" attribute="1" defaultMemberUniqueName="[Dataset].[Sales Person].[All]" allUniqueName="[Dataset].[Sales Person].[All]" dimensionUniqueName="[Dataset]" displayFolder="" count="2" memberValueDatatype="130" unbalanced="0"/>
    <cacheHierarchy uniqueName="[Dataset].[Sales]" caption="Sales" attribute="1" defaultMemberUniqueName="[Dataset].[Sales].[All]" allUniqueName="[Dataset].[Sales].[All]" dimensionUniqueName="[Dataset]" displayFolder="" count="2" memberValueDatatype="130" unbalanced="0"/>
    <cacheHierarchy uniqueName="[Dataset].[State]" caption="State" attribute="1" defaultMemberUniqueName="[Dataset].[State].[All]" allUniqueName="[Dataset].[State].[All]" dimensionUniqueName="[Dataset]" displayFolder="" count="2" memberValueDatatype="130" unbalanced="0">
      <fieldsUsage count="2">
        <fieldUsage x="-1"/>
        <fieldUsage x="1"/>
      </fieldsUsage>
    </cacheHierarchy>
    <cacheHierarchy uniqueName="[Dataset].[Product]" caption="Product" attribute="1" defaultMemberUniqueName="[Dataset].[Product].[All]" allUniqueName="[Dataset].[Product].[All]" dimensionUniqueName="[Dataset]" displayFolder="" count="2" memberValueDatatype="130" unbalanced="0"/>
    <cacheHierarchy uniqueName="[Dataset].[Inspection]" caption="Inspection" attribute="1" defaultMemberUniqueName="[Dataset].[Inspection].[All]" allUniqueName="[Dataset].[Inspection].[All]" dimensionUniqueName="[Dataset]" displayFolder="" count="2" memberValueDatatype="130" unbalanced="0"/>
    <cacheHierarchy uniqueName="[Measures].[Total Leads]" caption="Total Leads" measure="1" displayFolder="" measureGroup="Dataset" count="0"/>
    <cacheHierarchy uniqueName="[Measures].[Total Paid]" caption="Total Paid" measure="1" displayFolder="" measureGroup="Dataset" count="0"/>
    <cacheHierarchy uniqueName="[Measures].[CR%]" caption="CR%" measure="1" displayFolder="" measureGroup="Dataset" count="0" oneField="1">
      <fieldsUsage count="1">
        <fieldUsage x="0"/>
      </fieldsUsage>
    </cacheHierarchy>
    <cacheHierarchy uniqueName="[Measures].[__XL_Count Dataset]" caption="__XL_Count Dataset" measure="1" displayFolder="" measureGroup="Dataset" count="0" hidden="1"/>
    <cacheHierarchy uniqueName="[Measures].[__No measures defined]" caption="__No measures defined" measure="1" displayFolder="" count="0" hidden="1"/>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53.60986759259" backgroundQuery="1" createdVersion="8" refreshedVersion="8" minRefreshableVersion="3" recordCount="0" supportSubquery="1" supportAdvancedDrill="1" xr:uid="{CAF01076-E385-4892-8A86-F12F57FE6256}">
  <cacheSource type="external" connectionId="2"/>
  <cacheFields count="2">
    <cacheField name="[Measures].[CR%]" caption="CR%" numFmtId="0" hierarchy="9" level="32767"/>
    <cacheField name="[Dataset].[Sales Person].[Sales Person]" caption="Sales Person" numFmtId="0" hierarchy="2" level="1">
      <sharedItems count="6">
        <s v="Ahmed"/>
        <s v="Chioma"/>
        <s v="Chukwudi"/>
        <s v="Funmi"/>
        <s v="Ngozi"/>
        <s v="Olumide"/>
      </sharedItems>
    </cacheField>
  </cacheFields>
  <cacheHierarchies count="12">
    <cacheHierarchy uniqueName="[Dataset].[Client ID]" caption="Client ID" attribute="1" defaultMemberUniqueName="[Dataset].[Client ID].[All]" allUniqueName="[Dataset].[Client ID].[All]" dimensionUniqueName="[Dataset]" displayFolder="" count="2" memberValueDatatype="130" unbalanced="0"/>
    <cacheHierarchy uniqueName="[Dataset].[Client Gender]" caption="Client Gender" attribute="1" defaultMemberUniqueName="[Dataset].[Client Gender].[All]" allUniqueName="[Dataset].[Client Gender].[All]" dimensionUniqueName="[Dataset]" displayFolder="" count="2" memberValueDatatype="130" unbalanced="0"/>
    <cacheHierarchy uniqueName="[Dataset].[Sales Person]" caption="Sales Person" attribute="1" defaultMemberUniqueName="[Dataset].[Sales Person].[All]" allUniqueName="[Dataset].[Sales Person].[All]" dimensionUniqueName="[Dataset]" displayFolder="" count="2" memberValueDatatype="130" unbalanced="0">
      <fieldsUsage count="2">
        <fieldUsage x="-1"/>
        <fieldUsage x="1"/>
      </fieldsUsage>
    </cacheHierarchy>
    <cacheHierarchy uniqueName="[Dataset].[Sales]" caption="Sales" attribute="1" defaultMemberUniqueName="[Dataset].[Sales].[All]" allUniqueName="[Dataset].[Sales].[All]" dimensionUniqueName="[Dataset]" displayFolder="" count="2"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Product]" caption="Product" attribute="1" defaultMemberUniqueName="[Dataset].[Product].[All]" allUniqueName="[Dataset].[Product].[All]" dimensionUniqueName="[Dataset]" displayFolder="" count="2" memberValueDatatype="130" unbalanced="0"/>
    <cacheHierarchy uniqueName="[Dataset].[Inspection]" caption="Inspection" attribute="1" defaultMemberUniqueName="[Dataset].[Inspection].[All]" allUniqueName="[Dataset].[Inspection].[All]" dimensionUniqueName="[Dataset]" displayFolder="" count="2" memberValueDatatype="130" unbalanced="0"/>
    <cacheHierarchy uniqueName="[Measures].[Total Leads]" caption="Total Leads" measure="1" displayFolder="" measureGroup="Dataset" count="0"/>
    <cacheHierarchy uniqueName="[Measures].[Total Paid]" caption="Total Paid" measure="1" displayFolder="" measureGroup="Dataset" count="0"/>
    <cacheHierarchy uniqueName="[Measures].[CR%]" caption="CR%" measure="1" displayFolder="" measureGroup="Dataset" count="0" oneField="1">
      <fieldsUsage count="1">
        <fieldUsage x="0"/>
      </fieldsUsage>
    </cacheHierarchy>
    <cacheHierarchy uniqueName="[Measures].[__XL_Count Dataset]" caption="__XL_Count Dataset" measure="1" displayFolder="" measureGroup="Dataset" count="0" hidden="1"/>
    <cacheHierarchy uniqueName="[Measures].[__No measures defined]" caption="__No measures defined" measure="1" displayFolder="" count="0" hidden="1"/>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53.609868171297" backgroundQuery="1" createdVersion="8" refreshedVersion="8" minRefreshableVersion="3" recordCount="0" supportSubquery="1" supportAdvancedDrill="1" xr:uid="{38BA9088-8E6E-494C-AE8D-695E0FAA5B57}">
  <cacheSource type="external" connectionId="2"/>
  <cacheFields count="1">
    <cacheField name="[Measures].[Total Leads]" caption="Total Leads" numFmtId="0" hierarchy="7" level="32767"/>
  </cacheFields>
  <cacheHierarchies count="12">
    <cacheHierarchy uniqueName="[Dataset].[Client ID]" caption="Client ID" attribute="1" defaultMemberUniqueName="[Dataset].[Client ID].[All]" allUniqueName="[Dataset].[Client ID].[All]" dimensionUniqueName="[Dataset]" displayFolder="" count="0" memberValueDatatype="130" unbalanced="0"/>
    <cacheHierarchy uniqueName="[Dataset].[Client Gender]" caption="Client Gender" attribute="1" defaultMemberUniqueName="[Dataset].[Client Gender].[All]" allUniqueName="[Dataset].[Client Gender].[All]" dimensionUniqueName="[Dataset]" displayFolder="" count="2" memberValueDatatype="130" unbalanced="0"/>
    <cacheHierarchy uniqueName="[Dataset].[Sales Person]" caption="Sales Person" attribute="1" defaultMemberUniqueName="[Dataset].[Sales Person].[All]" allUniqueName="[Dataset].[Sales Person].[All]" dimensionUniqueName="[Dataset]" displayFolder="" count="2" memberValueDatatype="130" unbalanced="0"/>
    <cacheHierarchy uniqueName="[Dataset].[Sales]" caption="Sales" attribute="1" defaultMemberUniqueName="[Dataset].[Sales].[All]" allUniqueName="[Dataset].[Sales].[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Product]" caption="Product" attribute="1" defaultMemberUniqueName="[Dataset].[Product].[All]" allUniqueName="[Dataset].[Product].[All]" dimensionUniqueName="[Dataset]" displayFolder="" count="2" memberValueDatatype="130" unbalanced="0"/>
    <cacheHierarchy uniqueName="[Dataset].[Inspection]" caption="Inspection" attribute="1" defaultMemberUniqueName="[Dataset].[Inspection].[All]" allUniqueName="[Dataset].[Inspection].[All]" dimensionUniqueName="[Dataset]" displayFolder="" count="2" memberValueDatatype="130" unbalanced="0"/>
    <cacheHierarchy uniqueName="[Measures].[Total Leads]" caption="Total Leads" measure="1" displayFolder="" measureGroup="Dataset" count="0" oneField="1">
      <fieldsUsage count="1">
        <fieldUsage x="0"/>
      </fieldsUsage>
    </cacheHierarchy>
    <cacheHierarchy uniqueName="[Measures].[Total Paid]" caption="Total Paid" measure="1" displayFolder="" measureGroup="Dataset" count="0"/>
    <cacheHierarchy uniqueName="[Measures].[CR%]" caption="CR%"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53.609868749998" backgroundQuery="1" createdVersion="8" refreshedVersion="8" minRefreshableVersion="3" recordCount="0" supportSubquery="1" supportAdvancedDrill="1" xr:uid="{C6023F49-1DF3-4140-99BA-FC494116EAFE}">
  <cacheSource type="external" connectionId="2"/>
  <cacheFields count="1">
    <cacheField name="[Measures].[CR%]" caption="CR%" numFmtId="0" hierarchy="9" level="32767"/>
  </cacheFields>
  <cacheHierarchies count="12">
    <cacheHierarchy uniqueName="[Dataset].[Client ID]" caption="Client ID" attribute="1" defaultMemberUniqueName="[Dataset].[Client ID].[All]" allUniqueName="[Dataset].[Client ID].[All]" dimensionUniqueName="[Dataset]" displayFolder="" count="0" memberValueDatatype="130" unbalanced="0"/>
    <cacheHierarchy uniqueName="[Dataset].[Client Gender]" caption="Client Gender" attribute="1" defaultMemberUniqueName="[Dataset].[Client Gender].[All]" allUniqueName="[Dataset].[Client Gender].[All]" dimensionUniqueName="[Dataset]" displayFolder="" count="0" memberValueDatatype="130" unbalanced="0"/>
    <cacheHierarchy uniqueName="[Dataset].[Sales Person]" caption="Sales Person" attribute="1" defaultMemberUniqueName="[Dataset].[Sales Person].[All]" allUniqueName="[Dataset].[Sales Person].[All]" dimensionUniqueName="[Dataset]" displayFolder="" count="2" memberValueDatatype="130" unbalanced="0"/>
    <cacheHierarchy uniqueName="[Dataset].[Sales]" caption="Sales" attribute="1" defaultMemberUniqueName="[Dataset].[Sales].[All]" allUniqueName="[Dataset].[Sales].[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Product]" caption="Product" attribute="1" defaultMemberUniqueName="[Dataset].[Product].[All]" allUniqueName="[Dataset].[Product].[All]" dimensionUniqueName="[Dataset]" displayFolder="" count="2" memberValueDatatype="130" unbalanced="0"/>
    <cacheHierarchy uniqueName="[Dataset].[Inspection]" caption="Inspection" attribute="1" defaultMemberUniqueName="[Dataset].[Inspection].[All]" allUniqueName="[Dataset].[Inspection].[All]" dimensionUniqueName="[Dataset]" displayFolder="" count="0" memberValueDatatype="130" unbalanced="0"/>
    <cacheHierarchy uniqueName="[Measures].[Total Leads]" caption="Total Leads" measure="1" displayFolder="" measureGroup="Dataset" count="0"/>
    <cacheHierarchy uniqueName="[Measures].[Total Paid]" caption="Total Paid" measure="1" displayFolder="" measureGroup="Dataset" count="0"/>
    <cacheHierarchy uniqueName="[Measures].[CR%]" caption="CR%" measure="1" displayFolder="" measureGroup="Dataset" count="0" oneField="1">
      <fieldsUsage count="1">
        <fieldUsage x="0"/>
      </fieldsUsage>
    </cacheHierarchy>
    <cacheHierarchy uniqueName="[Measures].[__XL_Count Dataset]" caption="__XL_Count Dataset" measure="1" displayFolder="" measureGroup="Dataset" count="0" hidden="1"/>
    <cacheHierarchy uniqueName="[Measures].[__No measures defined]" caption="__No measures defined" measure="1" displayFolder="" count="0" hidden="1"/>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53.609869675929" backgroundQuery="1" createdVersion="8" refreshedVersion="8" minRefreshableVersion="3" recordCount="0" supportSubquery="1" supportAdvancedDrill="1" xr:uid="{47906434-C7CC-4D36-808F-76307FF4ACB0}">
  <cacheSource type="external" connectionId="2"/>
  <cacheFields count="2">
    <cacheField name="[Measures].[CR%]" caption="CR%" numFmtId="0" hierarchy="9" level="32767"/>
    <cacheField name="[Dataset].[Inspection].[Inspection]" caption="Inspection" numFmtId="0" hierarchy="6" level="1">
      <sharedItems count="2">
        <s v="No"/>
        <s v="Yes"/>
      </sharedItems>
    </cacheField>
  </cacheFields>
  <cacheHierarchies count="12">
    <cacheHierarchy uniqueName="[Dataset].[Client ID]" caption="Client ID" attribute="1" defaultMemberUniqueName="[Dataset].[Client ID].[All]" allUniqueName="[Dataset].[Client ID].[All]" dimensionUniqueName="[Dataset]" displayFolder="" count="2" memberValueDatatype="130" unbalanced="0"/>
    <cacheHierarchy uniqueName="[Dataset].[Client Gender]" caption="Client Gender" attribute="1" defaultMemberUniqueName="[Dataset].[Client Gender].[All]" allUniqueName="[Dataset].[Client Gender].[All]" dimensionUniqueName="[Dataset]" displayFolder="" count="2" memberValueDatatype="130" unbalanced="0"/>
    <cacheHierarchy uniqueName="[Dataset].[Sales Person]" caption="Sales Person" attribute="1" defaultMemberUniqueName="[Dataset].[Sales Person].[All]" allUniqueName="[Dataset].[Sales Person].[All]" dimensionUniqueName="[Dataset]" displayFolder="" count="2" memberValueDatatype="130" unbalanced="0"/>
    <cacheHierarchy uniqueName="[Dataset].[Sales]" caption="Sales" attribute="1" defaultMemberUniqueName="[Dataset].[Sales].[All]" allUniqueName="[Dataset].[Sales].[All]" dimensionUniqueName="[Dataset]" displayFolder="" count="2"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Product]" caption="Product" attribute="1" defaultMemberUniqueName="[Dataset].[Product].[All]" allUniqueName="[Dataset].[Product].[All]" dimensionUniqueName="[Dataset]" displayFolder="" count="2" memberValueDatatype="130" unbalanced="0"/>
    <cacheHierarchy uniqueName="[Dataset].[Inspection]" caption="Inspection" attribute="1" defaultMemberUniqueName="[Dataset].[Inspection].[All]" allUniqueName="[Dataset].[Inspection].[All]" dimensionUniqueName="[Dataset]" displayFolder="" count="2" memberValueDatatype="130" unbalanced="0">
      <fieldsUsage count="2">
        <fieldUsage x="-1"/>
        <fieldUsage x="1"/>
      </fieldsUsage>
    </cacheHierarchy>
    <cacheHierarchy uniqueName="[Measures].[Total Leads]" caption="Total Leads" measure="1" displayFolder="" measureGroup="Dataset" count="0"/>
    <cacheHierarchy uniqueName="[Measures].[Total Paid]" caption="Total Paid" measure="1" displayFolder="" measureGroup="Dataset" count="0"/>
    <cacheHierarchy uniqueName="[Measures].[CR%]" caption="CR%" measure="1" displayFolder="" measureGroup="Dataset" count="0" oneField="1">
      <fieldsUsage count="1">
        <fieldUsage x="0"/>
      </fieldsUsage>
    </cacheHierarchy>
    <cacheHierarchy uniqueName="[Measures].[__XL_Count Dataset]" caption="__XL_Count Dataset" measure="1" displayFolder="" measureGroup="Dataset" count="0" hidden="1"/>
    <cacheHierarchy uniqueName="[Measures].[__No measures defined]" caption="__No measures defined" measure="1" displayFolder="" count="0" hidden="1"/>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53.609870138891" backgroundQuery="1" createdVersion="8" refreshedVersion="8" minRefreshableVersion="3" recordCount="0" supportSubquery="1" supportAdvancedDrill="1" xr:uid="{78CC5F37-788A-41E9-9B43-21F5E6B3B4BB}">
  <cacheSource type="external" connectionId="2"/>
  <cacheFields count="1">
    <cacheField name="[Measures].[Total Paid]" caption="Total Paid" numFmtId="0" hierarchy="8" level="32767"/>
  </cacheFields>
  <cacheHierarchies count="12">
    <cacheHierarchy uniqueName="[Dataset].[Client ID]" caption="Client ID" attribute="1" defaultMemberUniqueName="[Dataset].[Client ID].[All]" allUniqueName="[Dataset].[Client ID].[All]" dimensionUniqueName="[Dataset]" displayFolder="" count="0" memberValueDatatype="130" unbalanced="0"/>
    <cacheHierarchy uniqueName="[Dataset].[Client Gender]" caption="Client Gender" attribute="1" defaultMemberUniqueName="[Dataset].[Client Gender].[All]" allUniqueName="[Dataset].[Client Gender].[All]" dimensionUniqueName="[Dataset]" displayFolder="" count="2" memberValueDatatype="130" unbalanced="0"/>
    <cacheHierarchy uniqueName="[Dataset].[Sales Person]" caption="Sales Person" attribute="1" defaultMemberUniqueName="[Dataset].[Sales Person].[All]" allUniqueName="[Dataset].[Sales Person].[All]" dimensionUniqueName="[Dataset]" displayFolder="" count="2" memberValueDatatype="130" unbalanced="0"/>
    <cacheHierarchy uniqueName="[Dataset].[Sales]" caption="Sales" attribute="1" defaultMemberUniqueName="[Dataset].[Sales].[All]" allUniqueName="[Dataset].[Sales].[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Product]" caption="Product" attribute="1" defaultMemberUniqueName="[Dataset].[Product].[All]" allUniqueName="[Dataset].[Product].[All]" dimensionUniqueName="[Dataset]" displayFolder="" count="2" memberValueDatatype="130" unbalanced="0"/>
    <cacheHierarchy uniqueName="[Dataset].[Inspection]" caption="Inspection" attribute="1" defaultMemberUniqueName="[Dataset].[Inspection].[All]" allUniqueName="[Dataset].[Inspection].[All]" dimensionUniqueName="[Dataset]" displayFolder="" count="2" memberValueDatatype="130" unbalanced="0"/>
    <cacheHierarchy uniqueName="[Measures].[Total Leads]" caption="Total Leads" measure="1" displayFolder="" measureGroup="Dataset" count="0"/>
    <cacheHierarchy uniqueName="[Measures].[Total Paid]" caption="Total Paid" measure="1" displayFolder="" measureGroup="Dataset" count="0" oneField="1">
      <fieldsUsage count="1">
        <fieldUsage x="0"/>
      </fieldsUsage>
    </cacheHierarchy>
    <cacheHierarchy uniqueName="[Measures].[CR%]" caption="CR%"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53.609870370368" backgroundQuery="1" createdVersion="8" refreshedVersion="8" minRefreshableVersion="3" recordCount="0" supportSubquery="1" supportAdvancedDrill="1" xr:uid="{D030A5B1-E181-43C2-9DD7-6763448C7045}">
  <cacheSource type="external" connectionId="2"/>
  <cacheFields count="1">
    <cacheField name="[Measures].[Total Paid]" caption="Total Paid" numFmtId="0" hierarchy="8" level="32767"/>
  </cacheFields>
  <cacheHierarchies count="12">
    <cacheHierarchy uniqueName="[Dataset].[Client ID]" caption="Client ID" attribute="1" defaultMemberUniqueName="[Dataset].[Client ID].[All]" allUniqueName="[Dataset].[Client ID].[All]" dimensionUniqueName="[Dataset]" displayFolder="" count="0" memberValueDatatype="130" unbalanced="0"/>
    <cacheHierarchy uniqueName="[Dataset].[Client Gender]" caption="Client Gender" attribute="1" defaultMemberUniqueName="[Dataset].[Client Gender].[All]" allUniqueName="[Dataset].[Client Gender].[All]" dimensionUniqueName="[Dataset]" displayFolder="" count="2" memberValueDatatype="130" unbalanced="0"/>
    <cacheHierarchy uniqueName="[Dataset].[Sales Person]" caption="Sales Person" attribute="1" defaultMemberUniqueName="[Dataset].[Sales Person].[All]" allUniqueName="[Dataset].[Sales Person].[All]" dimensionUniqueName="[Dataset]" displayFolder="" count="2" memberValueDatatype="130" unbalanced="0"/>
    <cacheHierarchy uniqueName="[Dataset].[Sales]" caption="Sales" attribute="1" defaultMemberUniqueName="[Dataset].[Sales].[All]" allUniqueName="[Dataset].[Sales].[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Product]" caption="Product" attribute="1" defaultMemberUniqueName="[Dataset].[Product].[All]" allUniqueName="[Dataset].[Product].[All]" dimensionUniqueName="[Dataset]" displayFolder="" count="2" memberValueDatatype="130" unbalanced="0"/>
    <cacheHierarchy uniqueName="[Dataset].[Inspection]" caption="Inspection" attribute="1" defaultMemberUniqueName="[Dataset].[Inspection].[All]" allUniqueName="[Dataset].[Inspection].[All]" dimensionUniqueName="[Dataset]" displayFolder="" count="2" memberValueDatatype="130" unbalanced="0"/>
    <cacheHierarchy uniqueName="[Measures].[Total Leads]" caption="Total Leads" measure="1" displayFolder="" measureGroup="Dataset" count="0"/>
    <cacheHierarchy uniqueName="[Measures].[Total Paid]" caption="Total Paid" measure="1" displayFolder="" measureGroup="Dataset" count="0" oneField="1">
      <fieldsUsage count="1">
        <fieldUsage x="0"/>
      </fieldsUsage>
    </cacheHierarchy>
    <cacheHierarchy uniqueName="[Measures].[CR%]" caption="CR%"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49.767265740738" backgroundQuery="1" createdVersion="3" refreshedVersion="8" minRefreshableVersion="3" recordCount="0" supportSubquery="1" supportAdvancedDrill="1" xr:uid="{BD028D27-39C3-4FAB-8DFC-BA4E23721ACA}">
  <cacheSource type="external" connectionId="2">
    <extLst>
      <ext xmlns:x14="http://schemas.microsoft.com/office/spreadsheetml/2009/9/main" uri="{F057638F-6D5F-4e77-A914-E7F072B9BCA8}">
        <x14:sourceConnection name="ThisWorkbookDataModel"/>
      </ext>
    </extLst>
  </cacheSource>
  <cacheFields count="0"/>
  <cacheHierarchies count="12">
    <cacheHierarchy uniqueName="[Dataset].[Client ID]" caption="Client ID" attribute="1" defaultMemberUniqueName="[Dataset].[Client ID].[All]" allUniqueName="[Dataset].[Client ID].[All]" dimensionUniqueName="[Dataset]" displayFolder="" count="0" memberValueDatatype="130" unbalanced="0"/>
    <cacheHierarchy uniqueName="[Dataset].[Client Gender]" caption="Client Gender" attribute="1" defaultMemberUniqueName="[Dataset].[Client Gender].[All]" allUniqueName="[Dataset].[Client Gender].[All]" dimensionUniqueName="[Dataset]" displayFolder="" count="2" memberValueDatatype="130" unbalanced="0"/>
    <cacheHierarchy uniqueName="[Dataset].[Sales Person]" caption="Sales Person" attribute="1" defaultMemberUniqueName="[Dataset].[Sales Person].[All]" allUniqueName="[Dataset].[Sales Person].[All]" dimensionUniqueName="[Dataset]" displayFolder="" count="2" memberValueDatatype="130" unbalanced="0"/>
    <cacheHierarchy uniqueName="[Dataset].[Sales]" caption="Sales" attribute="1" defaultMemberUniqueName="[Dataset].[Sales].[All]" allUniqueName="[Dataset].[Sales].[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Product]" caption="Product" attribute="1" defaultMemberUniqueName="[Dataset].[Product].[All]" allUniqueName="[Dataset].[Product].[All]" dimensionUniqueName="[Dataset]" displayFolder="" count="2" memberValueDatatype="130" unbalanced="0"/>
    <cacheHierarchy uniqueName="[Dataset].[Inspection]" caption="Inspection" attribute="1" defaultMemberUniqueName="[Dataset].[Inspection].[All]" allUniqueName="[Dataset].[Inspection].[All]" dimensionUniqueName="[Dataset]" displayFolder="" count="2" memberValueDatatype="130" unbalanced="0"/>
    <cacheHierarchy uniqueName="[Measures].[Total Leads]" caption="Total Leads" measure="1" displayFolder="" measureGroup="Dataset" count="0"/>
    <cacheHierarchy uniqueName="[Measures].[Total Paid]" caption="Total Paid" measure="1" displayFolder="" measureGroup="Dataset" count="0"/>
    <cacheHierarchy uniqueName="[Measures].[CR%]" caption="CR%"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32673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CDF3CA-4766-435A-83A4-90D1A1AFC2D3}" name="PivotTable7" cacheId="5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Property Type">
  <location ref="E16:F19"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BDC26E-5D5C-4B7C-B3F2-9C7BEF3DDF55}" name="PivotTable3" cacheId="5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location ref="E5:F8"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Hierarchies count="12">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986812-2C12-4E69-9A94-D18B65AC09E1}" name="PivotTable6" cacheId="5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Branches">
  <location ref="H11:I14"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6EE2D4-6A44-4ECB-B8B8-D5F6DFC4EDAF}" name="PivotTable5" cacheId="5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Sales Executive">
  <location ref="H2:I9"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7E2F72-047C-49CB-A2CF-8F80A07AE9ED}" name="PivotTable8" cacheId="5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2:E2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9F13C7-B082-4830-AE3C-A948B6CB1D4A}" name="PivotTable2" cacheId="5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637D7A-7B42-4FE2-A0F3-6C537297A238}" name="PivotTable4" cacheId="5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Inspection Status">
  <location ref="E10:F13"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DE82ED-0E33-41B7-AE97-C2780E0FAD32}" name="PivotTable1" cacheId="5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48755F-785B-487F-B612-EED5A151AA12}" name="PivotTable9" cacheId="5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4:E2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1CB1E0-2C3B-4F0B-833E-D8D5F7447512}" autoFormatId="16" applyNumberFormats="0" applyBorderFormats="0" applyFontFormats="0" applyPatternFormats="0" applyAlignmentFormats="0" applyWidthHeightFormats="0">
  <queryTableRefresh nextId="8">
    <queryTableFields count="7">
      <queryTableField id="1" name="Client ID" tableColumnId="1"/>
      <queryTableField id="2" name="Client Gender" tableColumnId="2"/>
      <queryTableField id="3" name="Sales Person" tableColumnId="3"/>
      <queryTableField id="4" name="Sales" tableColumnId="4"/>
      <queryTableField id="5" name="State" tableColumnId="5"/>
      <queryTableField id="6" name="Product" tableColumnId="6"/>
      <queryTableField id="7" name="Inspection"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BC40841-7C19-4929-AB88-262DC2F1D1ED}" sourceName="[Dataset].[Product]">
  <pivotTables>
    <pivotTable tabId="4" name="PivotTable1"/>
    <pivotTable tabId="4" name="PivotTable2"/>
    <pivotTable tabId="4" name="PivotTable3"/>
    <pivotTable tabId="4" name="PivotTable4"/>
    <pivotTable tabId="4" name="PivotTable5"/>
    <pivotTable tabId="4" name="PivotTable6"/>
    <pivotTable tabId="4" name="PivotTable8"/>
    <pivotTable tabId="4" name="PivotTable9"/>
  </pivotTables>
  <data>
    <olap pivotCacheId="63267378">
      <levels count="2">
        <level uniqueName="[Dataset].[Product].[(All)]" sourceCaption="(All)" count="0"/>
        <level uniqueName="[Dataset].[Product].[Product]" sourceCaption="Product" count="3">
          <ranges>
            <range startItem="0">
              <i n="[Dataset].[Product].&amp;[Commercial]" c="Commercial"/>
              <i n="[Dataset].[Product].&amp;[Industrial]" c="Industrial"/>
              <i n="[Dataset].[Product].&amp;[Residential]" c="Residential"/>
            </range>
          </ranges>
        </level>
      </levels>
      <selections count="1">
        <selection n="[Dataset].[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Gender" xr10:uid="{F70E72AC-022D-4976-A148-9174D926EF1F}" sourceName="[Dataset].[Client Gender]">
  <pivotTables>
    <pivotTable tabId="4" name="PivotTable3"/>
  </pivotTables>
  <data>
    <olap pivotCacheId="63267378">
      <levels count="2">
        <level uniqueName="[Dataset].[Client Gender].[(All)]" sourceCaption="(All)" count="0"/>
        <level uniqueName="[Dataset].[Client Gender].[Client Gender]" sourceCaption="Client Gender" count="2">
          <ranges>
            <range startItem="0">
              <i n="[Dataset].[Client Gender].&amp;[Female]" c="Female"/>
              <i n="[Dataset].[Client Gender].&amp;[Male]" c="Male"/>
            </range>
          </ranges>
        </level>
      </levels>
      <selections count="1">
        <selection n="[Dataset].[Client 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 xr10:uid="{87621F17-4732-4D47-9A88-E4CED88CF9D5}" sourceName="[Dataset].[Inspection]">
  <pivotTables>
    <pivotTable tabId="4" name="PivotTable4"/>
  </pivotTables>
  <data>
    <olap pivotCacheId="63267378">
      <levels count="2">
        <level uniqueName="[Dataset].[Inspection].[(All)]" sourceCaption="(All)" count="0"/>
        <level uniqueName="[Dataset].[Inspection].[Inspection]" sourceCaption="Inspection" count="2">
          <ranges>
            <range startItem="0">
              <i n="[Dataset].[Inspection].&amp;[No]" c="No"/>
              <i n="[Dataset].[Inspection].&amp;[Yes]" c="Yes"/>
            </range>
          </ranges>
        </level>
      </levels>
      <selections count="1">
        <selection n="[Dataset].[Inspec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60E11FE-1403-417F-8547-6FF4E45C7092}" cache="Slicer_Product" caption="Product" showCaption="0" level="1" rowHeight="298450"/>
  <slicer name="Client Gender" xr10:uid="{2D49BE4A-AD3C-4374-B58B-90009073A716}" cache="Slicer_Client_Gender" caption="Client Gender" columnCount="2" showCaption="0" level="1" rowHeight="298450"/>
  <slicer name="Inspection" xr10:uid="{7467007B-0ABE-46EF-BBCB-148E68F2DD57}" cache="Slicer_Inspection" caption="Inspection" columnCount="2" level="1" rowHeight="2984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054819-2F17-41A7-9731-2F2D66713913}" name="Dataset" displayName="Dataset" ref="A1:G194" tableType="queryTable" totalsRowShown="0">
  <autoFilter ref="A1:G194" xr:uid="{03054819-2F17-41A7-9731-2F2D66713913}"/>
  <tableColumns count="7">
    <tableColumn id="1" xr3:uid="{C0806FF0-70EE-4186-8ED8-769FBAD52BD9}" uniqueName="1" name="Client ID" queryTableFieldId="1" dataDxfId="6"/>
    <tableColumn id="2" xr3:uid="{E9D94062-DBB1-4A9D-8F20-75593F27F40F}" uniqueName="2" name="Client Gender" queryTableFieldId="2" dataDxfId="5"/>
    <tableColumn id="3" xr3:uid="{52355966-E123-48AD-B203-C8A964249046}" uniqueName="3" name="Sales Person" queryTableFieldId="3" dataDxfId="4"/>
    <tableColumn id="4" xr3:uid="{2D9CED13-952F-4419-82A0-A15CF2D367EE}" uniqueName="4" name="Sales" queryTableFieldId="4" dataDxfId="3"/>
    <tableColumn id="5" xr3:uid="{D638F29D-3132-4617-B4FB-25E2DD31A7A4}" uniqueName="5" name="State" queryTableFieldId="5" dataDxfId="2"/>
    <tableColumn id="6" xr3:uid="{CCFA9F7A-B24D-49FE-8DB4-958FD310542F}" uniqueName="6" name="Product" queryTableFieldId="6" dataDxfId="1"/>
    <tableColumn id="7" xr3:uid="{95EB26FB-BF9F-4C51-9E1F-F024D53DFFAC}" uniqueName="7" name="Inspection"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2BC1-8617-42FE-B7B5-36B39680A07A}">
  <dimension ref="A1:G194"/>
  <sheetViews>
    <sheetView workbookViewId="0">
      <selection activeCell="D16" sqref="D16"/>
    </sheetView>
  </sheetViews>
  <sheetFormatPr defaultRowHeight="14.4" x14ac:dyDescent="0.3"/>
  <cols>
    <col min="1" max="1" width="10.21875" bestFit="1" customWidth="1"/>
    <col min="2" max="2" width="14.5546875" bestFit="1" customWidth="1"/>
    <col min="3" max="3" width="13.6640625" bestFit="1" customWidth="1"/>
    <col min="4" max="4" width="12.88671875" bestFit="1" customWidth="1"/>
    <col min="5" max="5" width="7.5546875" bestFit="1" customWidth="1"/>
    <col min="6" max="6" width="10.77734375" bestFit="1" customWidth="1"/>
    <col min="7" max="7" width="12" bestFit="1" customWidth="1"/>
  </cols>
  <sheetData>
    <row r="1" spans="1:7" x14ac:dyDescent="0.3">
      <c r="A1" t="s">
        <v>0</v>
      </c>
      <c r="B1" t="s">
        <v>1</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8</v>
      </c>
      <c r="C3" s="1" t="s">
        <v>15</v>
      </c>
      <c r="D3" s="1" t="s">
        <v>16</v>
      </c>
      <c r="E3" s="1" t="s">
        <v>11</v>
      </c>
      <c r="F3" s="1" t="s">
        <v>17</v>
      </c>
      <c r="G3" s="1" t="s">
        <v>13</v>
      </c>
    </row>
    <row r="4" spans="1:7" x14ac:dyDescent="0.3">
      <c r="A4" s="1" t="s">
        <v>18</v>
      </c>
      <c r="B4" s="1" t="s">
        <v>8</v>
      </c>
      <c r="C4" s="1" t="s">
        <v>9</v>
      </c>
      <c r="D4" s="1" t="s">
        <v>19</v>
      </c>
      <c r="E4" s="1" t="s">
        <v>20</v>
      </c>
      <c r="F4" s="1" t="s">
        <v>21</v>
      </c>
      <c r="G4" s="1" t="s">
        <v>13</v>
      </c>
    </row>
    <row r="5" spans="1:7" x14ac:dyDescent="0.3">
      <c r="A5" s="1" t="s">
        <v>22</v>
      </c>
      <c r="B5" s="1" t="s">
        <v>8</v>
      </c>
      <c r="C5" s="1" t="s">
        <v>9</v>
      </c>
      <c r="D5" s="1" t="s">
        <v>16</v>
      </c>
      <c r="E5" s="1" t="s">
        <v>11</v>
      </c>
      <c r="F5" s="1" t="s">
        <v>12</v>
      </c>
      <c r="G5" s="1" t="s">
        <v>23</v>
      </c>
    </row>
    <row r="6" spans="1:7" x14ac:dyDescent="0.3">
      <c r="A6" s="1" t="s">
        <v>24</v>
      </c>
      <c r="B6" s="1" t="s">
        <v>25</v>
      </c>
      <c r="C6" s="1" t="s">
        <v>26</v>
      </c>
      <c r="D6" s="1" t="s">
        <v>19</v>
      </c>
      <c r="E6" s="1" t="s">
        <v>20</v>
      </c>
      <c r="F6" s="1" t="s">
        <v>21</v>
      </c>
      <c r="G6" s="1" t="s">
        <v>13</v>
      </c>
    </row>
    <row r="7" spans="1:7" x14ac:dyDescent="0.3">
      <c r="A7" s="1" t="s">
        <v>27</v>
      </c>
      <c r="B7" s="1" t="s">
        <v>8</v>
      </c>
      <c r="C7" s="1" t="s">
        <v>28</v>
      </c>
      <c r="D7" s="1" t="s">
        <v>10</v>
      </c>
      <c r="E7" s="1" t="s">
        <v>20</v>
      </c>
      <c r="F7" s="1" t="s">
        <v>21</v>
      </c>
      <c r="G7" s="1" t="s">
        <v>23</v>
      </c>
    </row>
    <row r="8" spans="1:7" x14ac:dyDescent="0.3">
      <c r="A8" s="1" t="s">
        <v>29</v>
      </c>
      <c r="B8" s="1" t="s">
        <v>8</v>
      </c>
      <c r="C8" s="1" t="s">
        <v>26</v>
      </c>
      <c r="D8" s="1" t="s">
        <v>16</v>
      </c>
      <c r="E8" s="1" t="s">
        <v>11</v>
      </c>
      <c r="F8" s="1" t="s">
        <v>17</v>
      </c>
      <c r="G8" s="1" t="s">
        <v>23</v>
      </c>
    </row>
    <row r="9" spans="1:7" x14ac:dyDescent="0.3">
      <c r="A9" s="1" t="s">
        <v>30</v>
      </c>
      <c r="B9" s="1" t="s">
        <v>8</v>
      </c>
      <c r="C9" s="1" t="s">
        <v>9</v>
      </c>
      <c r="D9" s="1" t="s">
        <v>31</v>
      </c>
      <c r="E9" s="1" t="s">
        <v>11</v>
      </c>
      <c r="F9" s="1" t="s">
        <v>21</v>
      </c>
      <c r="G9" s="1" t="s">
        <v>23</v>
      </c>
    </row>
    <row r="10" spans="1:7" x14ac:dyDescent="0.3">
      <c r="A10" s="1" t="s">
        <v>32</v>
      </c>
      <c r="B10" s="1" t="s">
        <v>8</v>
      </c>
      <c r="C10" s="1" t="s">
        <v>26</v>
      </c>
      <c r="D10" s="1" t="s">
        <v>16</v>
      </c>
      <c r="E10" s="1" t="s">
        <v>20</v>
      </c>
      <c r="F10" s="1" t="s">
        <v>17</v>
      </c>
      <c r="G10" s="1" t="s">
        <v>23</v>
      </c>
    </row>
    <row r="11" spans="1:7" x14ac:dyDescent="0.3">
      <c r="A11" s="1" t="s">
        <v>33</v>
      </c>
      <c r="B11" s="1" t="s">
        <v>25</v>
      </c>
      <c r="C11" s="1" t="s">
        <v>26</v>
      </c>
      <c r="D11" s="1" t="s">
        <v>19</v>
      </c>
      <c r="E11" s="1" t="s">
        <v>11</v>
      </c>
      <c r="F11" s="1" t="s">
        <v>21</v>
      </c>
      <c r="G11" s="1" t="s">
        <v>13</v>
      </c>
    </row>
    <row r="12" spans="1:7" x14ac:dyDescent="0.3">
      <c r="A12" s="1" t="s">
        <v>34</v>
      </c>
      <c r="B12" s="1" t="s">
        <v>8</v>
      </c>
      <c r="C12" s="1" t="s">
        <v>26</v>
      </c>
      <c r="D12" s="1" t="s">
        <v>31</v>
      </c>
      <c r="E12" s="1" t="s">
        <v>20</v>
      </c>
      <c r="F12" s="1" t="s">
        <v>12</v>
      </c>
      <c r="G12" s="1" t="s">
        <v>23</v>
      </c>
    </row>
    <row r="13" spans="1:7" x14ac:dyDescent="0.3">
      <c r="A13" s="1" t="s">
        <v>35</v>
      </c>
      <c r="B13" s="1" t="s">
        <v>8</v>
      </c>
      <c r="C13" s="1" t="s">
        <v>36</v>
      </c>
      <c r="D13" s="1" t="s">
        <v>31</v>
      </c>
      <c r="E13" s="1" t="s">
        <v>11</v>
      </c>
      <c r="F13" s="1" t="s">
        <v>17</v>
      </c>
      <c r="G13" s="1" t="s">
        <v>23</v>
      </c>
    </row>
    <row r="14" spans="1:7" x14ac:dyDescent="0.3">
      <c r="A14" s="1" t="s">
        <v>37</v>
      </c>
      <c r="B14" s="1" t="s">
        <v>8</v>
      </c>
      <c r="C14" s="1" t="s">
        <v>9</v>
      </c>
      <c r="D14" s="1" t="s">
        <v>31</v>
      </c>
      <c r="E14" s="1" t="s">
        <v>11</v>
      </c>
      <c r="F14" s="1" t="s">
        <v>21</v>
      </c>
      <c r="G14" s="1" t="s">
        <v>13</v>
      </c>
    </row>
    <row r="15" spans="1:7" x14ac:dyDescent="0.3">
      <c r="A15" s="1" t="s">
        <v>38</v>
      </c>
      <c r="B15" s="1" t="s">
        <v>25</v>
      </c>
      <c r="C15" s="1" t="s">
        <v>9</v>
      </c>
      <c r="D15" s="1" t="s">
        <v>19</v>
      </c>
      <c r="E15" s="1" t="s">
        <v>11</v>
      </c>
      <c r="F15" s="1" t="s">
        <v>12</v>
      </c>
      <c r="G15" s="1" t="s">
        <v>23</v>
      </c>
    </row>
    <row r="16" spans="1:7" x14ac:dyDescent="0.3">
      <c r="A16" s="1" t="s">
        <v>39</v>
      </c>
      <c r="B16" s="1" t="s">
        <v>8</v>
      </c>
      <c r="C16" s="1" t="s">
        <v>26</v>
      </c>
      <c r="D16" s="1" t="s">
        <v>19</v>
      </c>
      <c r="E16" s="1" t="s">
        <v>20</v>
      </c>
      <c r="F16" s="1" t="s">
        <v>12</v>
      </c>
      <c r="G16" s="1" t="s">
        <v>13</v>
      </c>
    </row>
    <row r="17" spans="1:7" x14ac:dyDescent="0.3">
      <c r="A17" s="1" t="s">
        <v>40</v>
      </c>
      <c r="B17" s="1" t="s">
        <v>8</v>
      </c>
      <c r="C17" s="1" t="s">
        <v>15</v>
      </c>
      <c r="D17" s="1" t="s">
        <v>10</v>
      </c>
      <c r="E17" s="1" t="s">
        <v>11</v>
      </c>
      <c r="F17" s="1" t="s">
        <v>12</v>
      </c>
      <c r="G17" s="1" t="s">
        <v>13</v>
      </c>
    </row>
    <row r="18" spans="1:7" x14ac:dyDescent="0.3">
      <c r="A18" s="1" t="s">
        <v>41</v>
      </c>
      <c r="B18" s="1" t="s">
        <v>25</v>
      </c>
      <c r="C18" s="1" t="s">
        <v>9</v>
      </c>
      <c r="D18" s="1" t="s">
        <v>16</v>
      </c>
      <c r="E18" s="1" t="s">
        <v>11</v>
      </c>
      <c r="F18" s="1" t="s">
        <v>17</v>
      </c>
      <c r="G18" s="1" t="s">
        <v>23</v>
      </c>
    </row>
    <row r="19" spans="1:7" x14ac:dyDescent="0.3">
      <c r="A19" s="1" t="s">
        <v>42</v>
      </c>
      <c r="B19" s="1" t="s">
        <v>8</v>
      </c>
      <c r="C19" s="1" t="s">
        <v>9</v>
      </c>
      <c r="D19" s="1" t="s">
        <v>16</v>
      </c>
      <c r="E19" s="1" t="s">
        <v>11</v>
      </c>
      <c r="F19" s="1" t="s">
        <v>12</v>
      </c>
      <c r="G19" s="1" t="s">
        <v>23</v>
      </c>
    </row>
    <row r="20" spans="1:7" x14ac:dyDescent="0.3">
      <c r="A20" s="1" t="s">
        <v>43</v>
      </c>
      <c r="B20" s="1" t="s">
        <v>25</v>
      </c>
      <c r="C20" s="1" t="s">
        <v>15</v>
      </c>
      <c r="D20" s="1" t="s">
        <v>31</v>
      </c>
      <c r="E20" s="1" t="s">
        <v>11</v>
      </c>
      <c r="F20" s="1" t="s">
        <v>12</v>
      </c>
      <c r="G20" s="1" t="s">
        <v>23</v>
      </c>
    </row>
    <row r="21" spans="1:7" x14ac:dyDescent="0.3">
      <c r="A21" s="1" t="s">
        <v>44</v>
      </c>
      <c r="B21" s="1" t="s">
        <v>25</v>
      </c>
      <c r="C21" s="1" t="s">
        <v>36</v>
      </c>
      <c r="D21" s="1" t="s">
        <v>19</v>
      </c>
      <c r="E21" s="1" t="s">
        <v>20</v>
      </c>
      <c r="F21" s="1" t="s">
        <v>21</v>
      </c>
      <c r="G21" s="1" t="s">
        <v>13</v>
      </c>
    </row>
    <row r="22" spans="1:7" x14ac:dyDescent="0.3">
      <c r="A22" s="1" t="s">
        <v>45</v>
      </c>
      <c r="B22" s="1" t="s">
        <v>25</v>
      </c>
      <c r="C22" s="1" t="s">
        <v>26</v>
      </c>
      <c r="D22" s="1" t="s">
        <v>16</v>
      </c>
      <c r="E22" s="1" t="s">
        <v>11</v>
      </c>
      <c r="F22" s="1" t="s">
        <v>17</v>
      </c>
      <c r="G22" s="1" t="s">
        <v>23</v>
      </c>
    </row>
    <row r="23" spans="1:7" x14ac:dyDescent="0.3">
      <c r="A23" s="1" t="s">
        <v>46</v>
      </c>
      <c r="B23" s="1" t="s">
        <v>8</v>
      </c>
      <c r="C23" s="1" t="s">
        <v>15</v>
      </c>
      <c r="D23" s="1" t="s">
        <v>16</v>
      </c>
      <c r="E23" s="1" t="s">
        <v>20</v>
      </c>
      <c r="F23" s="1" t="s">
        <v>12</v>
      </c>
      <c r="G23" s="1" t="s">
        <v>13</v>
      </c>
    </row>
    <row r="24" spans="1:7" x14ac:dyDescent="0.3">
      <c r="A24" s="1" t="s">
        <v>47</v>
      </c>
      <c r="B24" s="1" t="s">
        <v>8</v>
      </c>
      <c r="C24" s="1" t="s">
        <v>48</v>
      </c>
      <c r="D24" s="1" t="s">
        <v>16</v>
      </c>
      <c r="E24" s="1" t="s">
        <v>11</v>
      </c>
      <c r="F24" s="1" t="s">
        <v>17</v>
      </c>
      <c r="G24" s="1" t="s">
        <v>13</v>
      </c>
    </row>
    <row r="25" spans="1:7" x14ac:dyDescent="0.3">
      <c r="A25" s="1" t="s">
        <v>49</v>
      </c>
      <c r="B25" s="1" t="s">
        <v>8</v>
      </c>
      <c r="C25" s="1" t="s">
        <v>26</v>
      </c>
      <c r="D25" s="1" t="s">
        <v>31</v>
      </c>
      <c r="E25" s="1" t="s">
        <v>11</v>
      </c>
      <c r="F25" s="1" t="s">
        <v>17</v>
      </c>
      <c r="G25" s="1" t="s">
        <v>23</v>
      </c>
    </row>
    <row r="26" spans="1:7" x14ac:dyDescent="0.3">
      <c r="A26" s="1" t="s">
        <v>50</v>
      </c>
      <c r="B26" s="1" t="s">
        <v>8</v>
      </c>
      <c r="C26" s="1" t="s">
        <v>28</v>
      </c>
      <c r="D26" s="1" t="s">
        <v>19</v>
      </c>
      <c r="E26" s="1" t="s">
        <v>20</v>
      </c>
      <c r="F26" s="1" t="s">
        <v>21</v>
      </c>
      <c r="G26" s="1" t="s">
        <v>13</v>
      </c>
    </row>
    <row r="27" spans="1:7" x14ac:dyDescent="0.3">
      <c r="A27" s="1" t="s">
        <v>51</v>
      </c>
      <c r="B27" s="1" t="s">
        <v>25</v>
      </c>
      <c r="C27" s="1" t="s">
        <v>26</v>
      </c>
      <c r="D27" s="1" t="s">
        <v>10</v>
      </c>
      <c r="E27" s="1" t="s">
        <v>11</v>
      </c>
      <c r="F27" s="1" t="s">
        <v>12</v>
      </c>
      <c r="G27" s="1" t="s">
        <v>23</v>
      </c>
    </row>
    <row r="28" spans="1:7" x14ac:dyDescent="0.3">
      <c r="A28" s="1" t="s">
        <v>52</v>
      </c>
      <c r="B28" s="1" t="s">
        <v>25</v>
      </c>
      <c r="C28" s="1" t="s">
        <v>26</v>
      </c>
      <c r="D28" s="1" t="s">
        <v>19</v>
      </c>
      <c r="E28" s="1" t="s">
        <v>11</v>
      </c>
      <c r="F28" s="1" t="s">
        <v>21</v>
      </c>
      <c r="G28" s="1" t="s">
        <v>23</v>
      </c>
    </row>
    <row r="29" spans="1:7" x14ac:dyDescent="0.3">
      <c r="A29" s="1" t="s">
        <v>53</v>
      </c>
      <c r="B29" s="1" t="s">
        <v>8</v>
      </c>
      <c r="C29" s="1" t="s">
        <v>26</v>
      </c>
      <c r="D29" s="1" t="s">
        <v>16</v>
      </c>
      <c r="E29" s="1" t="s">
        <v>20</v>
      </c>
      <c r="F29" s="1" t="s">
        <v>12</v>
      </c>
      <c r="G29" s="1" t="s">
        <v>13</v>
      </c>
    </row>
    <row r="30" spans="1:7" x14ac:dyDescent="0.3">
      <c r="A30" s="1" t="s">
        <v>54</v>
      </c>
      <c r="B30" s="1" t="s">
        <v>8</v>
      </c>
      <c r="C30" s="1" t="s">
        <v>15</v>
      </c>
      <c r="D30" s="1" t="s">
        <v>16</v>
      </c>
      <c r="E30" s="1" t="s">
        <v>20</v>
      </c>
      <c r="F30" s="1" t="s">
        <v>21</v>
      </c>
      <c r="G30" s="1" t="s">
        <v>23</v>
      </c>
    </row>
    <row r="31" spans="1:7" x14ac:dyDescent="0.3">
      <c r="A31" s="1" t="s">
        <v>55</v>
      </c>
      <c r="B31" s="1" t="s">
        <v>25</v>
      </c>
      <c r="C31" s="1" t="s">
        <v>28</v>
      </c>
      <c r="D31" s="1" t="s">
        <v>19</v>
      </c>
      <c r="E31" s="1" t="s">
        <v>11</v>
      </c>
      <c r="F31" s="1" t="s">
        <v>21</v>
      </c>
      <c r="G31" s="1" t="s">
        <v>13</v>
      </c>
    </row>
    <row r="32" spans="1:7" x14ac:dyDescent="0.3">
      <c r="A32" s="1" t="s">
        <v>56</v>
      </c>
      <c r="B32" s="1" t="s">
        <v>25</v>
      </c>
      <c r="C32" s="1" t="s">
        <v>9</v>
      </c>
      <c r="D32" s="1" t="s">
        <v>19</v>
      </c>
      <c r="E32" s="1" t="s">
        <v>11</v>
      </c>
      <c r="F32" s="1" t="s">
        <v>21</v>
      </c>
      <c r="G32" s="1" t="s">
        <v>23</v>
      </c>
    </row>
    <row r="33" spans="1:7" x14ac:dyDescent="0.3">
      <c r="A33" s="1" t="s">
        <v>57</v>
      </c>
      <c r="B33" s="1" t="s">
        <v>8</v>
      </c>
      <c r="C33" s="1" t="s">
        <v>26</v>
      </c>
      <c r="D33" s="1" t="s">
        <v>16</v>
      </c>
      <c r="E33" s="1" t="s">
        <v>11</v>
      </c>
      <c r="F33" s="1" t="s">
        <v>21</v>
      </c>
      <c r="G33" s="1" t="s">
        <v>23</v>
      </c>
    </row>
    <row r="34" spans="1:7" x14ac:dyDescent="0.3">
      <c r="A34" s="1" t="s">
        <v>58</v>
      </c>
      <c r="B34" s="1" t="s">
        <v>8</v>
      </c>
      <c r="C34" s="1" t="s">
        <v>48</v>
      </c>
      <c r="D34" s="1" t="s">
        <v>31</v>
      </c>
      <c r="E34" s="1" t="s">
        <v>20</v>
      </c>
      <c r="F34" s="1" t="s">
        <v>21</v>
      </c>
      <c r="G34" s="1" t="s">
        <v>13</v>
      </c>
    </row>
    <row r="35" spans="1:7" x14ac:dyDescent="0.3">
      <c r="A35" s="1" t="s">
        <v>59</v>
      </c>
      <c r="B35" s="1" t="s">
        <v>8</v>
      </c>
      <c r="C35" s="1" t="s">
        <v>28</v>
      </c>
      <c r="D35" s="1" t="s">
        <v>16</v>
      </c>
      <c r="E35" s="1" t="s">
        <v>11</v>
      </c>
      <c r="F35" s="1" t="s">
        <v>12</v>
      </c>
      <c r="G35" s="1" t="s">
        <v>13</v>
      </c>
    </row>
    <row r="36" spans="1:7" x14ac:dyDescent="0.3">
      <c r="A36" s="1" t="s">
        <v>60</v>
      </c>
      <c r="B36" s="1" t="s">
        <v>8</v>
      </c>
      <c r="C36" s="1" t="s">
        <v>26</v>
      </c>
      <c r="D36" s="1" t="s">
        <v>16</v>
      </c>
      <c r="E36" s="1" t="s">
        <v>11</v>
      </c>
      <c r="F36" s="1" t="s">
        <v>12</v>
      </c>
      <c r="G36" s="1" t="s">
        <v>13</v>
      </c>
    </row>
    <row r="37" spans="1:7" x14ac:dyDescent="0.3">
      <c r="A37" s="1" t="s">
        <v>61</v>
      </c>
      <c r="B37" s="1" t="s">
        <v>25</v>
      </c>
      <c r="C37" s="1" t="s">
        <v>36</v>
      </c>
      <c r="D37" s="1" t="s">
        <v>19</v>
      </c>
      <c r="E37" s="1" t="s">
        <v>11</v>
      </c>
      <c r="F37" s="1" t="s">
        <v>21</v>
      </c>
      <c r="G37" s="1" t="s">
        <v>13</v>
      </c>
    </row>
    <row r="38" spans="1:7" x14ac:dyDescent="0.3">
      <c r="A38" s="1" t="s">
        <v>62</v>
      </c>
      <c r="B38" s="1" t="s">
        <v>25</v>
      </c>
      <c r="C38" s="1" t="s">
        <v>15</v>
      </c>
      <c r="D38" s="1" t="s">
        <v>19</v>
      </c>
      <c r="E38" s="1" t="s">
        <v>20</v>
      </c>
      <c r="F38" s="1" t="s">
        <v>21</v>
      </c>
      <c r="G38" s="1" t="s">
        <v>13</v>
      </c>
    </row>
    <row r="39" spans="1:7" x14ac:dyDescent="0.3">
      <c r="A39" s="1" t="s">
        <v>63</v>
      </c>
      <c r="B39" s="1" t="s">
        <v>8</v>
      </c>
      <c r="C39" s="1" t="s">
        <v>48</v>
      </c>
      <c r="D39" s="1" t="s">
        <v>16</v>
      </c>
      <c r="E39" s="1" t="s">
        <v>20</v>
      </c>
      <c r="F39" s="1" t="s">
        <v>12</v>
      </c>
      <c r="G39" s="1" t="s">
        <v>23</v>
      </c>
    </row>
    <row r="40" spans="1:7" x14ac:dyDescent="0.3">
      <c r="A40" s="1" t="s">
        <v>64</v>
      </c>
      <c r="B40" s="1" t="s">
        <v>8</v>
      </c>
      <c r="C40" s="1" t="s">
        <v>36</v>
      </c>
      <c r="D40" s="1" t="s">
        <v>16</v>
      </c>
      <c r="E40" s="1" t="s">
        <v>11</v>
      </c>
      <c r="F40" s="1" t="s">
        <v>21</v>
      </c>
      <c r="G40" s="1" t="s">
        <v>23</v>
      </c>
    </row>
    <row r="41" spans="1:7" x14ac:dyDescent="0.3">
      <c r="A41" s="1" t="s">
        <v>65</v>
      </c>
      <c r="B41" s="1" t="s">
        <v>8</v>
      </c>
      <c r="C41" s="1" t="s">
        <v>48</v>
      </c>
      <c r="D41" s="1" t="s">
        <v>16</v>
      </c>
      <c r="E41" s="1" t="s">
        <v>11</v>
      </c>
      <c r="F41" s="1" t="s">
        <v>21</v>
      </c>
      <c r="G41" s="1" t="s">
        <v>23</v>
      </c>
    </row>
    <row r="42" spans="1:7" x14ac:dyDescent="0.3">
      <c r="A42" s="1" t="s">
        <v>66</v>
      </c>
      <c r="B42" s="1" t="s">
        <v>25</v>
      </c>
      <c r="C42" s="1" t="s">
        <v>15</v>
      </c>
      <c r="D42" s="1" t="s">
        <v>19</v>
      </c>
      <c r="E42" s="1" t="s">
        <v>11</v>
      </c>
      <c r="F42" s="1" t="s">
        <v>12</v>
      </c>
      <c r="G42" s="1" t="s">
        <v>13</v>
      </c>
    </row>
    <row r="43" spans="1:7" x14ac:dyDescent="0.3">
      <c r="A43" s="1" t="s">
        <v>67</v>
      </c>
      <c r="B43" s="1" t="s">
        <v>25</v>
      </c>
      <c r="C43" s="1" t="s">
        <v>15</v>
      </c>
      <c r="D43" s="1" t="s">
        <v>19</v>
      </c>
      <c r="E43" s="1" t="s">
        <v>11</v>
      </c>
      <c r="F43" s="1" t="s">
        <v>21</v>
      </c>
      <c r="G43" s="1" t="s">
        <v>23</v>
      </c>
    </row>
    <row r="44" spans="1:7" x14ac:dyDescent="0.3">
      <c r="A44" s="1" t="s">
        <v>68</v>
      </c>
      <c r="B44" s="1" t="s">
        <v>8</v>
      </c>
      <c r="C44" s="1" t="s">
        <v>28</v>
      </c>
      <c r="D44" s="1" t="s">
        <v>19</v>
      </c>
      <c r="E44" s="1" t="s">
        <v>11</v>
      </c>
      <c r="F44" s="1" t="s">
        <v>21</v>
      </c>
      <c r="G44" s="1" t="s">
        <v>13</v>
      </c>
    </row>
    <row r="45" spans="1:7" x14ac:dyDescent="0.3">
      <c r="A45" s="1" t="s">
        <v>69</v>
      </c>
      <c r="B45" s="1" t="s">
        <v>8</v>
      </c>
      <c r="C45" s="1" t="s">
        <v>48</v>
      </c>
      <c r="D45" s="1" t="s">
        <v>31</v>
      </c>
      <c r="E45" s="1" t="s">
        <v>11</v>
      </c>
      <c r="F45" s="1" t="s">
        <v>17</v>
      </c>
      <c r="G45" s="1" t="s">
        <v>13</v>
      </c>
    </row>
    <row r="46" spans="1:7" x14ac:dyDescent="0.3">
      <c r="A46" s="1" t="s">
        <v>70</v>
      </c>
      <c r="B46" s="1" t="s">
        <v>25</v>
      </c>
      <c r="C46" s="1" t="s">
        <v>28</v>
      </c>
      <c r="D46" s="1" t="s">
        <v>10</v>
      </c>
      <c r="E46" s="1" t="s">
        <v>20</v>
      </c>
      <c r="F46" s="1" t="s">
        <v>17</v>
      </c>
      <c r="G46" s="1" t="s">
        <v>23</v>
      </c>
    </row>
    <row r="47" spans="1:7" x14ac:dyDescent="0.3">
      <c r="A47" s="1" t="s">
        <v>71</v>
      </c>
      <c r="B47" s="1" t="s">
        <v>25</v>
      </c>
      <c r="C47" s="1" t="s">
        <v>28</v>
      </c>
      <c r="D47" s="1" t="s">
        <v>19</v>
      </c>
      <c r="E47" s="1" t="s">
        <v>20</v>
      </c>
      <c r="F47" s="1" t="s">
        <v>21</v>
      </c>
      <c r="G47" s="1" t="s">
        <v>13</v>
      </c>
    </row>
    <row r="48" spans="1:7" x14ac:dyDescent="0.3">
      <c r="A48" s="1" t="s">
        <v>72</v>
      </c>
      <c r="B48" s="1" t="s">
        <v>25</v>
      </c>
      <c r="C48" s="1" t="s">
        <v>36</v>
      </c>
      <c r="D48" s="1" t="s">
        <v>19</v>
      </c>
      <c r="E48" s="1" t="s">
        <v>11</v>
      </c>
      <c r="F48" s="1" t="s">
        <v>21</v>
      </c>
      <c r="G48" s="1" t="s">
        <v>13</v>
      </c>
    </row>
    <row r="49" spans="1:7" x14ac:dyDescent="0.3">
      <c r="A49" s="1" t="s">
        <v>73</v>
      </c>
      <c r="B49" s="1" t="s">
        <v>8</v>
      </c>
      <c r="C49" s="1" t="s">
        <v>15</v>
      </c>
      <c r="D49" s="1" t="s">
        <v>10</v>
      </c>
      <c r="E49" s="1" t="s">
        <v>11</v>
      </c>
      <c r="F49" s="1" t="s">
        <v>12</v>
      </c>
      <c r="G49" s="1" t="s">
        <v>13</v>
      </c>
    </row>
    <row r="50" spans="1:7" x14ac:dyDescent="0.3">
      <c r="A50" s="1" t="s">
        <v>74</v>
      </c>
      <c r="B50" s="1" t="s">
        <v>8</v>
      </c>
      <c r="C50" s="1" t="s">
        <v>15</v>
      </c>
      <c r="D50" s="1" t="s">
        <v>31</v>
      </c>
      <c r="E50" s="1" t="s">
        <v>20</v>
      </c>
      <c r="F50" s="1" t="s">
        <v>12</v>
      </c>
      <c r="G50" s="1" t="s">
        <v>13</v>
      </c>
    </row>
    <row r="51" spans="1:7" x14ac:dyDescent="0.3">
      <c r="A51" s="1" t="s">
        <v>75</v>
      </c>
      <c r="B51" s="1" t="s">
        <v>8</v>
      </c>
      <c r="C51" s="1" t="s">
        <v>15</v>
      </c>
      <c r="D51" s="1" t="s">
        <v>10</v>
      </c>
      <c r="E51" s="1" t="s">
        <v>11</v>
      </c>
      <c r="F51" s="1" t="s">
        <v>17</v>
      </c>
      <c r="G51" s="1" t="s">
        <v>23</v>
      </c>
    </row>
    <row r="52" spans="1:7" x14ac:dyDescent="0.3">
      <c r="A52" s="1" t="s">
        <v>76</v>
      </c>
      <c r="B52" s="1" t="s">
        <v>8</v>
      </c>
      <c r="C52" s="1" t="s">
        <v>15</v>
      </c>
      <c r="D52" s="1" t="s">
        <v>10</v>
      </c>
      <c r="E52" s="1" t="s">
        <v>20</v>
      </c>
      <c r="F52" s="1" t="s">
        <v>12</v>
      </c>
      <c r="G52" s="1" t="s">
        <v>23</v>
      </c>
    </row>
    <row r="53" spans="1:7" x14ac:dyDescent="0.3">
      <c r="A53" s="1" t="s">
        <v>77</v>
      </c>
      <c r="B53" s="1" t="s">
        <v>25</v>
      </c>
      <c r="C53" s="1" t="s">
        <v>28</v>
      </c>
      <c r="D53" s="1" t="s">
        <v>19</v>
      </c>
      <c r="E53" s="1" t="s">
        <v>11</v>
      </c>
      <c r="F53" s="1" t="s">
        <v>21</v>
      </c>
      <c r="G53" s="1" t="s">
        <v>13</v>
      </c>
    </row>
    <row r="54" spans="1:7" x14ac:dyDescent="0.3">
      <c r="A54" s="1" t="s">
        <v>78</v>
      </c>
      <c r="B54" s="1" t="s">
        <v>8</v>
      </c>
      <c r="C54" s="1" t="s">
        <v>15</v>
      </c>
      <c r="D54" s="1" t="s">
        <v>31</v>
      </c>
      <c r="E54" s="1" t="s">
        <v>11</v>
      </c>
      <c r="F54" s="1" t="s">
        <v>21</v>
      </c>
      <c r="G54" s="1" t="s">
        <v>23</v>
      </c>
    </row>
    <row r="55" spans="1:7" x14ac:dyDescent="0.3">
      <c r="A55" s="1" t="s">
        <v>79</v>
      </c>
      <c r="B55" s="1" t="s">
        <v>25</v>
      </c>
      <c r="C55" s="1" t="s">
        <v>15</v>
      </c>
      <c r="D55" s="1" t="s">
        <v>16</v>
      </c>
      <c r="E55" s="1" t="s">
        <v>11</v>
      </c>
      <c r="F55" s="1" t="s">
        <v>17</v>
      </c>
      <c r="G55" s="1" t="s">
        <v>23</v>
      </c>
    </row>
    <row r="56" spans="1:7" x14ac:dyDescent="0.3">
      <c r="A56" s="1" t="s">
        <v>80</v>
      </c>
      <c r="B56" s="1" t="s">
        <v>8</v>
      </c>
      <c r="C56" s="1" t="s">
        <v>15</v>
      </c>
      <c r="D56" s="1" t="s">
        <v>10</v>
      </c>
      <c r="E56" s="1" t="s">
        <v>11</v>
      </c>
      <c r="F56" s="1" t="s">
        <v>21</v>
      </c>
      <c r="G56" s="1" t="s">
        <v>13</v>
      </c>
    </row>
    <row r="57" spans="1:7" x14ac:dyDescent="0.3">
      <c r="A57" s="1" t="s">
        <v>81</v>
      </c>
      <c r="B57" s="1" t="s">
        <v>8</v>
      </c>
      <c r="C57" s="1" t="s">
        <v>48</v>
      </c>
      <c r="D57" s="1" t="s">
        <v>31</v>
      </c>
      <c r="E57" s="1" t="s">
        <v>11</v>
      </c>
      <c r="F57" s="1" t="s">
        <v>21</v>
      </c>
      <c r="G57" s="1" t="s">
        <v>23</v>
      </c>
    </row>
    <row r="58" spans="1:7" x14ac:dyDescent="0.3">
      <c r="A58" s="1" t="s">
        <v>82</v>
      </c>
      <c r="B58" s="1" t="s">
        <v>25</v>
      </c>
      <c r="C58" s="1" t="s">
        <v>36</v>
      </c>
      <c r="D58" s="1" t="s">
        <v>10</v>
      </c>
      <c r="E58" s="1" t="s">
        <v>11</v>
      </c>
      <c r="F58" s="1" t="s">
        <v>17</v>
      </c>
      <c r="G58" s="1" t="s">
        <v>23</v>
      </c>
    </row>
    <row r="59" spans="1:7" x14ac:dyDescent="0.3">
      <c r="A59" s="1" t="s">
        <v>83</v>
      </c>
      <c r="B59" s="1" t="s">
        <v>8</v>
      </c>
      <c r="C59" s="1" t="s">
        <v>9</v>
      </c>
      <c r="D59" s="1" t="s">
        <v>10</v>
      </c>
      <c r="E59" s="1" t="s">
        <v>11</v>
      </c>
      <c r="F59" s="1" t="s">
        <v>12</v>
      </c>
      <c r="G59" s="1" t="s">
        <v>13</v>
      </c>
    </row>
    <row r="60" spans="1:7" x14ac:dyDescent="0.3">
      <c r="A60" s="1" t="s">
        <v>84</v>
      </c>
      <c r="B60" s="1" t="s">
        <v>25</v>
      </c>
      <c r="C60" s="1" t="s">
        <v>36</v>
      </c>
      <c r="D60" s="1" t="s">
        <v>19</v>
      </c>
      <c r="E60" s="1" t="s">
        <v>11</v>
      </c>
      <c r="F60" s="1" t="s">
        <v>12</v>
      </c>
      <c r="G60" s="1" t="s">
        <v>13</v>
      </c>
    </row>
    <row r="61" spans="1:7" x14ac:dyDescent="0.3">
      <c r="A61" s="1" t="s">
        <v>85</v>
      </c>
      <c r="B61" s="1" t="s">
        <v>25</v>
      </c>
      <c r="C61" s="1" t="s">
        <v>28</v>
      </c>
      <c r="D61" s="1" t="s">
        <v>10</v>
      </c>
      <c r="E61" s="1" t="s">
        <v>20</v>
      </c>
      <c r="F61" s="1" t="s">
        <v>17</v>
      </c>
      <c r="G61" s="1" t="s">
        <v>23</v>
      </c>
    </row>
    <row r="62" spans="1:7" x14ac:dyDescent="0.3">
      <c r="A62" s="1" t="s">
        <v>86</v>
      </c>
      <c r="B62" s="1" t="s">
        <v>25</v>
      </c>
      <c r="C62" s="1" t="s">
        <v>26</v>
      </c>
      <c r="D62" s="1" t="s">
        <v>19</v>
      </c>
      <c r="E62" s="1" t="s">
        <v>11</v>
      </c>
      <c r="F62" s="1" t="s">
        <v>21</v>
      </c>
      <c r="G62" s="1" t="s">
        <v>23</v>
      </c>
    </row>
    <row r="63" spans="1:7" x14ac:dyDescent="0.3">
      <c r="A63" s="1" t="s">
        <v>87</v>
      </c>
      <c r="B63" s="1" t="s">
        <v>25</v>
      </c>
      <c r="C63" s="1" t="s">
        <v>26</v>
      </c>
      <c r="D63" s="1" t="s">
        <v>19</v>
      </c>
      <c r="E63" s="1" t="s">
        <v>11</v>
      </c>
      <c r="F63" s="1" t="s">
        <v>21</v>
      </c>
      <c r="G63" s="1" t="s">
        <v>23</v>
      </c>
    </row>
    <row r="64" spans="1:7" x14ac:dyDescent="0.3">
      <c r="A64" s="1" t="s">
        <v>88</v>
      </c>
      <c r="B64" s="1" t="s">
        <v>8</v>
      </c>
      <c r="C64" s="1" t="s">
        <v>9</v>
      </c>
      <c r="D64" s="1" t="s">
        <v>19</v>
      </c>
      <c r="E64" s="1" t="s">
        <v>11</v>
      </c>
      <c r="F64" s="1" t="s">
        <v>21</v>
      </c>
      <c r="G64" s="1" t="s">
        <v>13</v>
      </c>
    </row>
    <row r="65" spans="1:7" x14ac:dyDescent="0.3">
      <c r="A65" s="1" t="s">
        <v>89</v>
      </c>
      <c r="B65" s="1" t="s">
        <v>25</v>
      </c>
      <c r="C65" s="1" t="s">
        <v>26</v>
      </c>
      <c r="D65" s="1" t="s">
        <v>10</v>
      </c>
      <c r="E65" s="1" t="s">
        <v>11</v>
      </c>
      <c r="F65" s="1" t="s">
        <v>17</v>
      </c>
      <c r="G65" s="1" t="s">
        <v>23</v>
      </c>
    </row>
    <row r="66" spans="1:7" x14ac:dyDescent="0.3">
      <c r="A66" s="1" t="s">
        <v>90</v>
      </c>
      <c r="B66" s="1" t="s">
        <v>8</v>
      </c>
      <c r="C66" s="1" t="s">
        <v>48</v>
      </c>
      <c r="D66" s="1" t="s">
        <v>16</v>
      </c>
      <c r="E66" s="1" t="s">
        <v>20</v>
      </c>
      <c r="F66" s="1" t="s">
        <v>12</v>
      </c>
      <c r="G66" s="1" t="s">
        <v>23</v>
      </c>
    </row>
    <row r="67" spans="1:7" x14ac:dyDescent="0.3">
      <c r="A67" s="1" t="s">
        <v>91</v>
      </c>
      <c r="B67" s="1" t="s">
        <v>25</v>
      </c>
      <c r="C67" s="1" t="s">
        <v>15</v>
      </c>
      <c r="D67" s="1" t="s">
        <v>19</v>
      </c>
      <c r="E67" s="1" t="s">
        <v>11</v>
      </c>
      <c r="F67" s="1" t="s">
        <v>12</v>
      </c>
      <c r="G67" s="1" t="s">
        <v>13</v>
      </c>
    </row>
    <row r="68" spans="1:7" x14ac:dyDescent="0.3">
      <c r="A68" s="1" t="s">
        <v>92</v>
      </c>
      <c r="B68" s="1" t="s">
        <v>25</v>
      </c>
      <c r="C68" s="1" t="s">
        <v>48</v>
      </c>
      <c r="D68" s="1" t="s">
        <v>19</v>
      </c>
      <c r="E68" s="1" t="s">
        <v>20</v>
      </c>
      <c r="F68" s="1" t="s">
        <v>21</v>
      </c>
      <c r="G68" s="1" t="s">
        <v>13</v>
      </c>
    </row>
    <row r="69" spans="1:7" x14ac:dyDescent="0.3">
      <c r="A69" s="1" t="s">
        <v>93</v>
      </c>
      <c r="B69" s="1" t="s">
        <v>25</v>
      </c>
      <c r="C69" s="1" t="s">
        <v>36</v>
      </c>
      <c r="D69" s="1" t="s">
        <v>19</v>
      </c>
      <c r="E69" s="1" t="s">
        <v>11</v>
      </c>
      <c r="F69" s="1" t="s">
        <v>21</v>
      </c>
      <c r="G69" s="1" t="s">
        <v>13</v>
      </c>
    </row>
    <row r="70" spans="1:7" x14ac:dyDescent="0.3">
      <c r="A70" s="1" t="s">
        <v>94</v>
      </c>
      <c r="B70" s="1" t="s">
        <v>8</v>
      </c>
      <c r="C70" s="1" t="s">
        <v>28</v>
      </c>
      <c r="D70" s="1" t="s">
        <v>19</v>
      </c>
      <c r="E70" s="1" t="s">
        <v>11</v>
      </c>
      <c r="F70" s="1" t="s">
        <v>21</v>
      </c>
      <c r="G70" s="1" t="s">
        <v>13</v>
      </c>
    </row>
    <row r="71" spans="1:7" x14ac:dyDescent="0.3">
      <c r="A71" s="1" t="s">
        <v>95</v>
      </c>
      <c r="B71" s="1" t="s">
        <v>25</v>
      </c>
      <c r="C71" s="1" t="s">
        <v>9</v>
      </c>
      <c r="D71" s="1" t="s">
        <v>19</v>
      </c>
      <c r="E71" s="1" t="s">
        <v>11</v>
      </c>
      <c r="F71" s="1" t="s">
        <v>21</v>
      </c>
      <c r="G71" s="1" t="s">
        <v>13</v>
      </c>
    </row>
    <row r="72" spans="1:7" x14ac:dyDescent="0.3">
      <c r="A72" s="1" t="s">
        <v>96</v>
      </c>
      <c r="B72" s="1" t="s">
        <v>25</v>
      </c>
      <c r="C72" s="1" t="s">
        <v>26</v>
      </c>
      <c r="D72" s="1" t="s">
        <v>10</v>
      </c>
      <c r="E72" s="1" t="s">
        <v>11</v>
      </c>
      <c r="F72" s="1" t="s">
        <v>17</v>
      </c>
      <c r="G72" s="1" t="s">
        <v>23</v>
      </c>
    </row>
    <row r="73" spans="1:7" x14ac:dyDescent="0.3">
      <c r="A73" s="1" t="s">
        <v>97</v>
      </c>
      <c r="B73" s="1" t="s">
        <v>8</v>
      </c>
      <c r="C73" s="1" t="s">
        <v>26</v>
      </c>
      <c r="D73" s="1" t="s">
        <v>16</v>
      </c>
      <c r="E73" s="1" t="s">
        <v>20</v>
      </c>
      <c r="F73" s="1" t="s">
        <v>12</v>
      </c>
      <c r="G73" s="1" t="s">
        <v>23</v>
      </c>
    </row>
    <row r="74" spans="1:7" x14ac:dyDescent="0.3">
      <c r="A74" s="1" t="s">
        <v>98</v>
      </c>
      <c r="B74" s="1" t="s">
        <v>8</v>
      </c>
      <c r="C74" s="1" t="s">
        <v>36</v>
      </c>
      <c r="D74" s="1" t="s">
        <v>10</v>
      </c>
      <c r="E74" s="1" t="s">
        <v>20</v>
      </c>
      <c r="F74" s="1" t="s">
        <v>12</v>
      </c>
      <c r="G74" s="1" t="s">
        <v>13</v>
      </c>
    </row>
    <row r="75" spans="1:7" x14ac:dyDescent="0.3">
      <c r="A75" s="1" t="s">
        <v>99</v>
      </c>
      <c r="B75" s="1" t="s">
        <v>25</v>
      </c>
      <c r="C75" s="1" t="s">
        <v>15</v>
      </c>
      <c r="D75" s="1" t="s">
        <v>19</v>
      </c>
      <c r="E75" s="1" t="s">
        <v>11</v>
      </c>
      <c r="F75" s="1" t="s">
        <v>21</v>
      </c>
      <c r="G75" s="1" t="s">
        <v>13</v>
      </c>
    </row>
    <row r="76" spans="1:7" x14ac:dyDescent="0.3">
      <c r="A76" s="1" t="s">
        <v>100</v>
      </c>
      <c r="B76" s="1" t="s">
        <v>25</v>
      </c>
      <c r="C76" s="1" t="s">
        <v>48</v>
      </c>
      <c r="D76" s="1" t="s">
        <v>31</v>
      </c>
      <c r="E76" s="1" t="s">
        <v>11</v>
      </c>
      <c r="F76" s="1" t="s">
        <v>12</v>
      </c>
      <c r="G76" s="1" t="s">
        <v>23</v>
      </c>
    </row>
    <row r="77" spans="1:7" x14ac:dyDescent="0.3">
      <c r="A77" s="1" t="s">
        <v>101</v>
      </c>
      <c r="B77" s="1" t="s">
        <v>8</v>
      </c>
      <c r="C77" s="1" t="s">
        <v>36</v>
      </c>
      <c r="D77" s="1" t="s">
        <v>19</v>
      </c>
      <c r="E77" s="1" t="s">
        <v>20</v>
      </c>
      <c r="F77" s="1" t="s">
        <v>21</v>
      </c>
      <c r="G77" s="1" t="s">
        <v>13</v>
      </c>
    </row>
    <row r="78" spans="1:7" x14ac:dyDescent="0.3">
      <c r="A78" s="1" t="s">
        <v>102</v>
      </c>
      <c r="B78" s="1" t="s">
        <v>8</v>
      </c>
      <c r="C78" s="1" t="s">
        <v>28</v>
      </c>
      <c r="D78" s="1" t="s">
        <v>16</v>
      </c>
      <c r="E78" s="1" t="s">
        <v>11</v>
      </c>
      <c r="F78" s="1" t="s">
        <v>17</v>
      </c>
      <c r="G78" s="1" t="s">
        <v>23</v>
      </c>
    </row>
    <row r="79" spans="1:7" x14ac:dyDescent="0.3">
      <c r="A79" s="1" t="s">
        <v>103</v>
      </c>
      <c r="B79" s="1" t="s">
        <v>25</v>
      </c>
      <c r="C79" s="1" t="s">
        <v>28</v>
      </c>
      <c r="D79" s="1" t="s">
        <v>19</v>
      </c>
      <c r="E79" s="1" t="s">
        <v>20</v>
      </c>
      <c r="F79" s="1" t="s">
        <v>21</v>
      </c>
      <c r="G79" s="1" t="s">
        <v>23</v>
      </c>
    </row>
    <row r="80" spans="1:7" x14ac:dyDescent="0.3">
      <c r="A80" s="1" t="s">
        <v>104</v>
      </c>
      <c r="B80" s="1" t="s">
        <v>8</v>
      </c>
      <c r="C80" s="1" t="s">
        <v>9</v>
      </c>
      <c r="D80" s="1" t="s">
        <v>10</v>
      </c>
      <c r="E80" s="1" t="s">
        <v>11</v>
      </c>
      <c r="F80" s="1" t="s">
        <v>21</v>
      </c>
      <c r="G80" s="1" t="s">
        <v>13</v>
      </c>
    </row>
    <row r="81" spans="1:7" x14ac:dyDescent="0.3">
      <c r="A81" s="1" t="s">
        <v>105</v>
      </c>
      <c r="B81" s="1" t="s">
        <v>25</v>
      </c>
      <c r="C81" s="1" t="s">
        <v>9</v>
      </c>
      <c r="D81" s="1" t="s">
        <v>19</v>
      </c>
      <c r="E81" s="1" t="s">
        <v>20</v>
      </c>
      <c r="F81" s="1" t="s">
        <v>21</v>
      </c>
      <c r="G81" s="1" t="s">
        <v>13</v>
      </c>
    </row>
    <row r="82" spans="1:7" x14ac:dyDescent="0.3">
      <c r="A82" s="1" t="s">
        <v>106</v>
      </c>
      <c r="B82" s="1" t="s">
        <v>8</v>
      </c>
      <c r="C82" s="1" t="s">
        <v>48</v>
      </c>
      <c r="D82" s="1" t="s">
        <v>16</v>
      </c>
      <c r="E82" s="1" t="s">
        <v>20</v>
      </c>
      <c r="F82" s="1" t="s">
        <v>17</v>
      </c>
      <c r="G82" s="1" t="s">
        <v>13</v>
      </c>
    </row>
    <row r="83" spans="1:7" x14ac:dyDescent="0.3">
      <c r="A83" s="1" t="s">
        <v>107</v>
      </c>
      <c r="B83" s="1" t="s">
        <v>8</v>
      </c>
      <c r="C83" s="1" t="s">
        <v>36</v>
      </c>
      <c r="D83" s="1" t="s">
        <v>31</v>
      </c>
      <c r="E83" s="1" t="s">
        <v>20</v>
      </c>
      <c r="F83" s="1" t="s">
        <v>21</v>
      </c>
      <c r="G83" s="1" t="s">
        <v>13</v>
      </c>
    </row>
    <row r="84" spans="1:7" x14ac:dyDescent="0.3">
      <c r="A84" s="1" t="s">
        <v>108</v>
      </c>
      <c r="B84" s="1" t="s">
        <v>8</v>
      </c>
      <c r="C84" s="1" t="s">
        <v>9</v>
      </c>
      <c r="D84" s="1" t="s">
        <v>16</v>
      </c>
      <c r="E84" s="1" t="s">
        <v>20</v>
      </c>
      <c r="F84" s="1" t="s">
        <v>21</v>
      </c>
      <c r="G84" s="1" t="s">
        <v>23</v>
      </c>
    </row>
    <row r="85" spans="1:7" x14ac:dyDescent="0.3">
      <c r="A85" s="1" t="s">
        <v>109</v>
      </c>
      <c r="B85" s="1" t="s">
        <v>8</v>
      </c>
      <c r="C85" s="1" t="s">
        <v>36</v>
      </c>
      <c r="D85" s="1" t="s">
        <v>10</v>
      </c>
      <c r="E85" s="1" t="s">
        <v>20</v>
      </c>
      <c r="F85" s="1" t="s">
        <v>17</v>
      </c>
      <c r="G85" s="1" t="s">
        <v>13</v>
      </c>
    </row>
    <row r="86" spans="1:7" x14ac:dyDescent="0.3">
      <c r="A86" s="1" t="s">
        <v>110</v>
      </c>
      <c r="B86" s="1" t="s">
        <v>8</v>
      </c>
      <c r="C86" s="1" t="s">
        <v>26</v>
      </c>
      <c r="D86" s="1" t="s">
        <v>16</v>
      </c>
      <c r="E86" s="1" t="s">
        <v>11</v>
      </c>
      <c r="F86" s="1" t="s">
        <v>17</v>
      </c>
      <c r="G86" s="1" t="s">
        <v>13</v>
      </c>
    </row>
    <row r="87" spans="1:7" x14ac:dyDescent="0.3">
      <c r="A87" s="1" t="s">
        <v>111</v>
      </c>
      <c r="B87" s="1" t="s">
        <v>25</v>
      </c>
      <c r="C87" s="1" t="s">
        <v>48</v>
      </c>
      <c r="D87" s="1" t="s">
        <v>16</v>
      </c>
      <c r="E87" s="1" t="s">
        <v>20</v>
      </c>
      <c r="F87" s="1" t="s">
        <v>17</v>
      </c>
      <c r="G87" s="1" t="s">
        <v>23</v>
      </c>
    </row>
    <row r="88" spans="1:7" x14ac:dyDescent="0.3">
      <c r="A88" s="1" t="s">
        <v>112</v>
      </c>
      <c r="B88" s="1" t="s">
        <v>8</v>
      </c>
      <c r="C88" s="1" t="s">
        <v>26</v>
      </c>
      <c r="D88" s="1" t="s">
        <v>16</v>
      </c>
      <c r="E88" s="1" t="s">
        <v>11</v>
      </c>
      <c r="F88" s="1" t="s">
        <v>21</v>
      </c>
      <c r="G88" s="1" t="s">
        <v>23</v>
      </c>
    </row>
    <row r="89" spans="1:7" x14ac:dyDescent="0.3">
      <c r="A89" s="1" t="s">
        <v>113</v>
      </c>
      <c r="B89" s="1" t="s">
        <v>8</v>
      </c>
      <c r="C89" s="1" t="s">
        <v>28</v>
      </c>
      <c r="D89" s="1" t="s">
        <v>16</v>
      </c>
      <c r="E89" s="1" t="s">
        <v>20</v>
      </c>
      <c r="F89" s="1" t="s">
        <v>21</v>
      </c>
      <c r="G89" s="1" t="s">
        <v>13</v>
      </c>
    </row>
    <row r="90" spans="1:7" x14ac:dyDescent="0.3">
      <c r="A90" s="1" t="s">
        <v>114</v>
      </c>
      <c r="B90" s="1" t="s">
        <v>8</v>
      </c>
      <c r="C90" s="1" t="s">
        <v>9</v>
      </c>
      <c r="D90" s="1" t="s">
        <v>16</v>
      </c>
      <c r="E90" s="1" t="s">
        <v>20</v>
      </c>
      <c r="F90" s="1" t="s">
        <v>21</v>
      </c>
      <c r="G90" s="1" t="s">
        <v>23</v>
      </c>
    </row>
    <row r="91" spans="1:7" x14ac:dyDescent="0.3">
      <c r="A91" s="1" t="s">
        <v>115</v>
      </c>
      <c r="B91" s="1" t="s">
        <v>8</v>
      </c>
      <c r="C91" s="1" t="s">
        <v>28</v>
      </c>
      <c r="D91" s="1" t="s">
        <v>19</v>
      </c>
      <c r="E91" s="1" t="s">
        <v>20</v>
      </c>
      <c r="F91" s="1" t="s">
        <v>21</v>
      </c>
      <c r="G91" s="1" t="s">
        <v>13</v>
      </c>
    </row>
    <row r="92" spans="1:7" x14ac:dyDescent="0.3">
      <c r="A92" s="1" t="s">
        <v>116</v>
      </c>
      <c r="B92" s="1" t="s">
        <v>25</v>
      </c>
      <c r="C92" s="1" t="s">
        <v>15</v>
      </c>
      <c r="D92" s="1" t="s">
        <v>31</v>
      </c>
      <c r="E92" s="1" t="s">
        <v>20</v>
      </c>
      <c r="F92" s="1" t="s">
        <v>12</v>
      </c>
      <c r="G92" s="1" t="s">
        <v>23</v>
      </c>
    </row>
    <row r="93" spans="1:7" x14ac:dyDescent="0.3">
      <c r="A93" s="1" t="s">
        <v>117</v>
      </c>
      <c r="B93" s="1" t="s">
        <v>8</v>
      </c>
      <c r="C93" s="1" t="s">
        <v>48</v>
      </c>
      <c r="D93" s="1" t="s">
        <v>31</v>
      </c>
      <c r="E93" s="1" t="s">
        <v>20</v>
      </c>
      <c r="F93" s="1" t="s">
        <v>17</v>
      </c>
      <c r="G93" s="1" t="s">
        <v>13</v>
      </c>
    </row>
    <row r="94" spans="1:7" x14ac:dyDescent="0.3">
      <c r="A94" s="1" t="s">
        <v>118</v>
      </c>
      <c r="B94" s="1" t="s">
        <v>25</v>
      </c>
      <c r="C94" s="1" t="s">
        <v>36</v>
      </c>
      <c r="D94" s="1" t="s">
        <v>19</v>
      </c>
      <c r="E94" s="1" t="s">
        <v>20</v>
      </c>
      <c r="F94" s="1" t="s">
        <v>21</v>
      </c>
      <c r="G94" s="1" t="s">
        <v>13</v>
      </c>
    </row>
    <row r="95" spans="1:7" x14ac:dyDescent="0.3">
      <c r="A95" s="1" t="s">
        <v>119</v>
      </c>
      <c r="B95" s="1" t="s">
        <v>25</v>
      </c>
      <c r="C95" s="1" t="s">
        <v>15</v>
      </c>
      <c r="D95" s="1" t="s">
        <v>19</v>
      </c>
      <c r="E95" s="1" t="s">
        <v>20</v>
      </c>
      <c r="F95" s="1" t="s">
        <v>21</v>
      </c>
      <c r="G95" s="1" t="s">
        <v>13</v>
      </c>
    </row>
    <row r="96" spans="1:7" x14ac:dyDescent="0.3">
      <c r="A96" s="1" t="s">
        <v>120</v>
      </c>
      <c r="B96" s="1" t="s">
        <v>8</v>
      </c>
      <c r="C96" s="1" t="s">
        <v>28</v>
      </c>
      <c r="D96" s="1" t="s">
        <v>16</v>
      </c>
      <c r="E96" s="1" t="s">
        <v>11</v>
      </c>
      <c r="F96" s="1" t="s">
        <v>21</v>
      </c>
      <c r="G96" s="1" t="s">
        <v>23</v>
      </c>
    </row>
    <row r="97" spans="1:7" x14ac:dyDescent="0.3">
      <c r="A97" s="1" t="s">
        <v>121</v>
      </c>
      <c r="B97" s="1" t="s">
        <v>8</v>
      </c>
      <c r="C97" s="1" t="s">
        <v>48</v>
      </c>
      <c r="D97" s="1" t="s">
        <v>19</v>
      </c>
      <c r="E97" s="1" t="s">
        <v>20</v>
      </c>
      <c r="F97" s="1" t="s">
        <v>12</v>
      </c>
      <c r="G97" s="1" t="s">
        <v>13</v>
      </c>
    </row>
    <row r="98" spans="1:7" x14ac:dyDescent="0.3">
      <c r="A98" s="1" t="s">
        <v>122</v>
      </c>
      <c r="B98" s="1" t="s">
        <v>8</v>
      </c>
      <c r="C98" s="1" t="s">
        <v>9</v>
      </c>
      <c r="D98" s="1" t="s">
        <v>19</v>
      </c>
      <c r="E98" s="1" t="s">
        <v>11</v>
      </c>
      <c r="F98" s="1" t="s">
        <v>21</v>
      </c>
      <c r="G98" s="1" t="s">
        <v>13</v>
      </c>
    </row>
    <row r="99" spans="1:7" x14ac:dyDescent="0.3">
      <c r="A99" s="1" t="s">
        <v>123</v>
      </c>
      <c r="B99" s="1" t="s">
        <v>8</v>
      </c>
      <c r="C99" s="1" t="s">
        <v>48</v>
      </c>
      <c r="D99" s="1" t="s">
        <v>31</v>
      </c>
      <c r="E99" s="1" t="s">
        <v>11</v>
      </c>
      <c r="F99" s="1" t="s">
        <v>21</v>
      </c>
      <c r="G99" s="1" t="s">
        <v>13</v>
      </c>
    </row>
    <row r="100" spans="1:7" x14ac:dyDescent="0.3">
      <c r="A100" s="1" t="s">
        <v>124</v>
      </c>
      <c r="B100" s="1" t="s">
        <v>8</v>
      </c>
      <c r="C100" s="1" t="s">
        <v>36</v>
      </c>
      <c r="D100" s="1" t="s">
        <v>19</v>
      </c>
      <c r="E100" s="1" t="s">
        <v>20</v>
      </c>
      <c r="F100" s="1" t="s">
        <v>12</v>
      </c>
      <c r="G100" s="1" t="s">
        <v>13</v>
      </c>
    </row>
    <row r="101" spans="1:7" x14ac:dyDescent="0.3">
      <c r="A101" s="1" t="s">
        <v>125</v>
      </c>
      <c r="B101" s="1" t="s">
        <v>8</v>
      </c>
      <c r="C101" s="1" t="s">
        <v>28</v>
      </c>
      <c r="D101" s="1" t="s">
        <v>16</v>
      </c>
      <c r="E101" s="1" t="s">
        <v>11</v>
      </c>
      <c r="F101" s="1" t="s">
        <v>17</v>
      </c>
      <c r="G101" s="1" t="s">
        <v>23</v>
      </c>
    </row>
    <row r="102" spans="1:7" x14ac:dyDescent="0.3">
      <c r="A102" s="1" t="s">
        <v>126</v>
      </c>
      <c r="B102" s="1" t="s">
        <v>25</v>
      </c>
      <c r="C102" s="1" t="s">
        <v>15</v>
      </c>
      <c r="D102" s="1" t="s">
        <v>19</v>
      </c>
      <c r="E102" s="1" t="s">
        <v>20</v>
      </c>
      <c r="F102" s="1" t="s">
        <v>21</v>
      </c>
      <c r="G102" s="1" t="s">
        <v>23</v>
      </c>
    </row>
    <row r="103" spans="1:7" x14ac:dyDescent="0.3">
      <c r="A103" s="1" t="s">
        <v>127</v>
      </c>
      <c r="B103" s="1" t="s">
        <v>8</v>
      </c>
      <c r="C103" s="1" t="s">
        <v>36</v>
      </c>
      <c r="D103" s="1" t="s">
        <v>10</v>
      </c>
      <c r="E103" s="1" t="s">
        <v>20</v>
      </c>
      <c r="F103" s="1" t="s">
        <v>12</v>
      </c>
      <c r="G103" s="1" t="s">
        <v>13</v>
      </c>
    </row>
    <row r="104" spans="1:7" x14ac:dyDescent="0.3">
      <c r="A104" s="1" t="s">
        <v>128</v>
      </c>
      <c r="B104" s="1" t="s">
        <v>8</v>
      </c>
      <c r="C104" s="1" t="s">
        <v>48</v>
      </c>
      <c r="D104" s="1" t="s">
        <v>19</v>
      </c>
      <c r="E104" s="1" t="s">
        <v>20</v>
      </c>
      <c r="F104" s="1" t="s">
        <v>21</v>
      </c>
      <c r="G104" s="1" t="s">
        <v>13</v>
      </c>
    </row>
    <row r="105" spans="1:7" x14ac:dyDescent="0.3">
      <c r="A105" s="1" t="s">
        <v>129</v>
      </c>
      <c r="B105" s="1" t="s">
        <v>25</v>
      </c>
      <c r="C105" s="1" t="s">
        <v>48</v>
      </c>
      <c r="D105" s="1" t="s">
        <v>19</v>
      </c>
      <c r="E105" s="1" t="s">
        <v>20</v>
      </c>
      <c r="F105" s="1" t="s">
        <v>21</v>
      </c>
      <c r="G105" s="1" t="s">
        <v>13</v>
      </c>
    </row>
    <row r="106" spans="1:7" x14ac:dyDescent="0.3">
      <c r="A106" s="1" t="s">
        <v>130</v>
      </c>
      <c r="B106" s="1" t="s">
        <v>25</v>
      </c>
      <c r="C106" s="1" t="s">
        <v>36</v>
      </c>
      <c r="D106" s="1" t="s">
        <v>19</v>
      </c>
      <c r="E106" s="1" t="s">
        <v>11</v>
      </c>
      <c r="F106" s="1" t="s">
        <v>12</v>
      </c>
      <c r="G106" s="1" t="s">
        <v>23</v>
      </c>
    </row>
    <row r="107" spans="1:7" x14ac:dyDescent="0.3">
      <c r="A107" s="1" t="s">
        <v>131</v>
      </c>
      <c r="B107" s="1" t="s">
        <v>25</v>
      </c>
      <c r="C107" s="1" t="s">
        <v>9</v>
      </c>
      <c r="D107" s="1" t="s">
        <v>31</v>
      </c>
      <c r="E107" s="1" t="s">
        <v>11</v>
      </c>
      <c r="F107" s="1" t="s">
        <v>12</v>
      </c>
      <c r="G107" s="1" t="s">
        <v>23</v>
      </c>
    </row>
    <row r="108" spans="1:7" x14ac:dyDescent="0.3">
      <c r="A108" s="1" t="s">
        <v>132</v>
      </c>
      <c r="B108" s="1" t="s">
        <v>8</v>
      </c>
      <c r="C108" s="1" t="s">
        <v>36</v>
      </c>
      <c r="D108" s="1" t="s">
        <v>31</v>
      </c>
      <c r="E108" s="1" t="s">
        <v>11</v>
      </c>
      <c r="F108" s="1" t="s">
        <v>12</v>
      </c>
      <c r="G108" s="1" t="s">
        <v>13</v>
      </c>
    </row>
    <row r="109" spans="1:7" x14ac:dyDescent="0.3">
      <c r="A109" s="1" t="s">
        <v>133</v>
      </c>
      <c r="B109" s="1" t="s">
        <v>25</v>
      </c>
      <c r="C109" s="1" t="s">
        <v>36</v>
      </c>
      <c r="D109" s="1" t="s">
        <v>19</v>
      </c>
      <c r="E109" s="1" t="s">
        <v>11</v>
      </c>
      <c r="F109" s="1" t="s">
        <v>21</v>
      </c>
      <c r="G109" s="1" t="s">
        <v>13</v>
      </c>
    </row>
    <row r="110" spans="1:7" x14ac:dyDescent="0.3">
      <c r="A110" s="1" t="s">
        <v>134</v>
      </c>
      <c r="B110" s="1" t="s">
        <v>8</v>
      </c>
      <c r="C110" s="1" t="s">
        <v>26</v>
      </c>
      <c r="D110" s="1" t="s">
        <v>16</v>
      </c>
      <c r="E110" s="1" t="s">
        <v>20</v>
      </c>
      <c r="F110" s="1" t="s">
        <v>12</v>
      </c>
      <c r="G110" s="1" t="s">
        <v>23</v>
      </c>
    </row>
    <row r="111" spans="1:7" x14ac:dyDescent="0.3">
      <c r="A111" s="1" t="s">
        <v>135</v>
      </c>
      <c r="B111" s="1" t="s">
        <v>8</v>
      </c>
      <c r="C111" s="1" t="s">
        <v>9</v>
      </c>
      <c r="D111" s="1" t="s">
        <v>19</v>
      </c>
      <c r="E111" s="1" t="s">
        <v>20</v>
      </c>
      <c r="F111" s="1" t="s">
        <v>21</v>
      </c>
      <c r="G111" s="1" t="s">
        <v>13</v>
      </c>
    </row>
    <row r="112" spans="1:7" x14ac:dyDescent="0.3">
      <c r="A112" s="1" t="s">
        <v>136</v>
      </c>
      <c r="B112" s="1" t="s">
        <v>8</v>
      </c>
      <c r="C112" s="1" t="s">
        <v>26</v>
      </c>
      <c r="D112" s="1" t="s">
        <v>10</v>
      </c>
      <c r="E112" s="1" t="s">
        <v>11</v>
      </c>
      <c r="F112" s="1" t="s">
        <v>21</v>
      </c>
      <c r="G112" s="1" t="s">
        <v>13</v>
      </c>
    </row>
    <row r="113" spans="1:7" x14ac:dyDescent="0.3">
      <c r="A113" s="1" t="s">
        <v>137</v>
      </c>
      <c r="B113" s="1" t="s">
        <v>25</v>
      </c>
      <c r="C113" s="1" t="s">
        <v>15</v>
      </c>
      <c r="D113" s="1" t="s">
        <v>31</v>
      </c>
      <c r="E113" s="1" t="s">
        <v>20</v>
      </c>
      <c r="F113" s="1" t="s">
        <v>17</v>
      </c>
      <c r="G113" s="1" t="s">
        <v>23</v>
      </c>
    </row>
    <row r="114" spans="1:7" x14ac:dyDescent="0.3">
      <c r="A114" s="1" t="s">
        <v>138</v>
      </c>
      <c r="B114" s="1" t="s">
        <v>25</v>
      </c>
      <c r="C114" s="1" t="s">
        <v>28</v>
      </c>
      <c r="D114" s="1" t="s">
        <v>10</v>
      </c>
      <c r="E114" s="1" t="s">
        <v>11</v>
      </c>
      <c r="F114" s="1" t="s">
        <v>12</v>
      </c>
      <c r="G114" s="1" t="s">
        <v>23</v>
      </c>
    </row>
    <row r="115" spans="1:7" x14ac:dyDescent="0.3">
      <c r="A115" s="1" t="s">
        <v>139</v>
      </c>
      <c r="B115" s="1" t="s">
        <v>25</v>
      </c>
      <c r="C115" s="1" t="s">
        <v>28</v>
      </c>
      <c r="D115" s="1" t="s">
        <v>19</v>
      </c>
      <c r="E115" s="1" t="s">
        <v>11</v>
      </c>
      <c r="F115" s="1" t="s">
        <v>12</v>
      </c>
      <c r="G115" s="1" t="s">
        <v>23</v>
      </c>
    </row>
    <row r="116" spans="1:7" x14ac:dyDescent="0.3">
      <c r="A116" s="1" t="s">
        <v>140</v>
      </c>
      <c r="B116" s="1" t="s">
        <v>8</v>
      </c>
      <c r="C116" s="1" t="s">
        <v>48</v>
      </c>
      <c r="D116" s="1" t="s">
        <v>31</v>
      </c>
      <c r="E116" s="1" t="s">
        <v>20</v>
      </c>
      <c r="F116" s="1" t="s">
        <v>21</v>
      </c>
      <c r="G116" s="1" t="s">
        <v>23</v>
      </c>
    </row>
    <row r="117" spans="1:7" x14ac:dyDescent="0.3">
      <c r="A117" s="1" t="s">
        <v>141</v>
      </c>
      <c r="B117" s="1" t="s">
        <v>25</v>
      </c>
      <c r="C117" s="1" t="s">
        <v>9</v>
      </c>
      <c r="D117" s="1" t="s">
        <v>19</v>
      </c>
      <c r="E117" s="1" t="s">
        <v>11</v>
      </c>
      <c r="F117" s="1" t="s">
        <v>12</v>
      </c>
      <c r="G117" s="1" t="s">
        <v>13</v>
      </c>
    </row>
    <row r="118" spans="1:7" x14ac:dyDescent="0.3">
      <c r="A118" s="1" t="s">
        <v>142</v>
      </c>
      <c r="B118" s="1" t="s">
        <v>8</v>
      </c>
      <c r="C118" s="1" t="s">
        <v>9</v>
      </c>
      <c r="D118" s="1" t="s">
        <v>31</v>
      </c>
      <c r="E118" s="1" t="s">
        <v>20</v>
      </c>
      <c r="F118" s="1" t="s">
        <v>12</v>
      </c>
      <c r="G118" s="1" t="s">
        <v>13</v>
      </c>
    </row>
    <row r="119" spans="1:7" x14ac:dyDescent="0.3">
      <c r="A119" s="1" t="s">
        <v>143</v>
      </c>
      <c r="B119" s="1" t="s">
        <v>8</v>
      </c>
      <c r="C119" s="1" t="s">
        <v>48</v>
      </c>
      <c r="D119" s="1" t="s">
        <v>19</v>
      </c>
      <c r="E119" s="1" t="s">
        <v>20</v>
      </c>
      <c r="F119" s="1" t="s">
        <v>12</v>
      </c>
      <c r="G119" s="1" t="s">
        <v>13</v>
      </c>
    </row>
    <row r="120" spans="1:7" x14ac:dyDescent="0.3">
      <c r="A120" s="1" t="s">
        <v>144</v>
      </c>
      <c r="B120" s="1" t="s">
        <v>8</v>
      </c>
      <c r="C120" s="1" t="s">
        <v>28</v>
      </c>
      <c r="D120" s="1" t="s">
        <v>31</v>
      </c>
      <c r="E120" s="1" t="s">
        <v>11</v>
      </c>
      <c r="F120" s="1" t="s">
        <v>17</v>
      </c>
      <c r="G120" s="1" t="s">
        <v>13</v>
      </c>
    </row>
    <row r="121" spans="1:7" x14ac:dyDescent="0.3">
      <c r="A121" s="1" t="s">
        <v>145</v>
      </c>
      <c r="B121" s="1" t="s">
        <v>25</v>
      </c>
      <c r="C121" s="1" t="s">
        <v>9</v>
      </c>
      <c r="D121" s="1" t="s">
        <v>19</v>
      </c>
      <c r="E121" s="1" t="s">
        <v>20</v>
      </c>
      <c r="F121" s="1" t="s">
        <v>12</v>
      </c>
      <c r="G121" s="1" t="s">
        <v>13</v>
      </c>
    </row>
    <row r="122" spans="1:7" x14ac:dyDescent="0.3">
      <c r="A122" s="1" t="s">
        <v>146</v>
      </c>
      <c r="B122" s="1" t="s">
        <v>8</v>
      </c>
      <c r="C122" s="1" t="s">
        <v>9</v>
      </c>
      <c r="D122" s="1" t="s">
        <v>16</v>
      </c>
      <c r="E122" s="1" t="s">
        <v>20</v>
      </c>
      <c r="F122" s="1" t="s">
        <v>17</v>
      </c>
      <c r="G122" s="1" t="s">
        <v>23</v>
      </c>
    </row>
    <row r="123" spans="1:7" x14ac:dyDescent="0.3">
      <c r="A123" s="1" t="s">
        <v>147</v>
      </c>
      <c r="B123" s="1" t="s">
        <v>25</v>
      </c>
      <c r="C123" s="1" t="s">
        <v>26</v>
      </c>
      <c r="D123" s="1" t="s">
        <v>19</v>
      </c>
      <c r="E123" s="1" t="s">
        <v>11</v>
      </c>
      <c r="F123" s="1" t="s">
        <v>21</v>
      </c>
      <c r="G123" s="1" t="s">
        <v>13</v>
      </c>
    </row>
    <row r="124" spans="1:7" x14ac:dyDescent="0.3">
      <c r="A124" s="1" t="s">
        <v>148</v>
      </c>
      <c r="B124" s="1" t="s">
        <v>8</v>
      </c>
      <c r="C124" s="1" t="s">
        <v>15</v>
      </c>
      <c r="D124" s="1" t="s">
        <v>19</v>
      </c>
      <c r="E124" s="1" t="s">
        <v>11</v>
      </c>
      <c r="F124" s="1" t="s">
        <v>12</v>
      </c>
      <c r="G124" s="1" t="s">
        <v>13</v>
      </c>
    </row>
    <row r="125" spans="1:7" x14ac:dyDescent="0.3">
      <c r="A125" s="1" t="s">
        <v>149</v>
      </c>
      <c r="B125" s="1" t="s">
        <v>25</v>
      </c>
      <c r="C125" s="1" t="s">
        <v>9</v>
      </c>
      <c r="D125" s="1" t="s">
        <v>19</v>
      </c>
      <c r="E125" s="1" t="s">
        <v>11</v>
      </c>
      <c r="F125" s="1" t="s">
        <v>21</v>
      </c>
      <c r="G125" s="1" t="s">
        <v>13</v>
      </c>
    </row>
    <row r="126" spans="1:7" x14ac:dyDescent="0.3">
      <c r="A126" s="1" t="s">
        <v>150</v>
      </c>
      <c r="B126" s="1" t="s">
        <v>8</v>
      </c>
      <c r="C126" s="1" t="s">
        <v>26</v>
      </c>
      <c r="D126" s="1" t="s">
        <v>31</v>
      </c>
      <c r="E126" s="1" t="s">
        <v>20</v>
      </c>
      <c r="F126" s="1" t="s">
        <v>12</v>
      </c>
      <c r="G126" s="1" t="s">
        <v>13</v>
      </c>
    </row>
    <row r="127" spans="1:7" x14ac:dyDescent="0.3">
      <c r="A127" s="1" t="s">
        <v>151</v>
      </c>
      <c r="B127" s="1" t="s">
        <v>25</v>
      </c>
      <c r="C127" s="1" t="s">
        <v>9</v>
      </c>
      <c r="D127" s="1" t="s">
        <v>19</v>
      </c>
      <c r="E127" s="1" t="s">
        <v>20</v>
      </c>
      <c r="F127" s="1" t="s">
        <v>21</v>
      </c>
      <c r="G127" s="1" t="s">
        <v>23</v>
      </c>
    </row>
    <row r="128" spans="1:7" x14ac:dyDescent="0.3">
      <c r="A128" s="1" t="s">
        <v>152</v>
      </c>
      <c r="B128" s="1" t="s">
        <v>25</v>
      </c>
      <c r="C128" s="1" t="s">
        <v>26</v>
      </c>
      <c r="D128" s="1" t="s">
        <v>19</v>
      </c>
      <c r="E128" s="1" t="s">
        <v>11</v>
      </c>
      <c r="F128" s="1" t="s">
        <v>21</v>
      </c>
      <c r="G128" s="1" t="s">
        <v>13</v>
      </c>
    </row>
    <row r="129" spans="1:7" x14ac:dyDescent="0.3">
      <c r="A129" s="1" t="s">
        <v>153</v>
      </c>
      <c r="B129" s="1" t="s">
        <v>25</v>
      </c>
      <c r="C129" s="1" t="s">
        <v>9</v>
      </c>
      <c r="D129" s="1" t="s">
        <v>19</v>
      </c>
      <c r="E129" s="1" t="s">
        <v>20</v>
      </c>
      <c r="F129" s="1" t="s">
        <v>21</v>
      </c>
      <c r="G129" s="1" t="s">
        <v>23</v>
      </c>
    </row>
    <row r="130" spans="1:7" x14ac:dyDescent="0.3">
      <c r="A130" s="1" t="s">
        <v>154</v>
      </c>
      <c r="B130" s="1" t="s">
        <v>8</v>
      </c>
      <c r="C130" s="1" t="s">
        <v>9</v>
      </c>
      <c r="D130" s="1" t="s">
        <v>16</v>
      </c>
      <c r="E130" s="1" t="s">
        <v>20</v>
      </c>
      <c r="F130" s="1" t="s">
        <v>21</v>
      </c>
      <c r="G130" s="1" t="s">
        <v>13</v>
      </c>
    </row>
    <row r="131" spans="1:7" x14ac:dyDescent="0.3">
      <c r="A131" s="1" t="s">
        <v>155</v>
      </c>
      <c r="B131" s="1" t="s">
        <v>8</v>
      </c>
      <c r="C131" s="1" t="s">
        <v>28</v>
      </c>
      <c r="D131" s="1" t="s">
        <v>16</v>
      </c>
      <c r="E131" s="1" t="s">
        <v>20</v>
      </c>
      <c r="F131" s="1" t="s">
        <v>21</v>
      </c>
      <c r="G131" s="1" t="s">
        <v>23</v>
      </c>
    </row>
    <row r="132" spans="1:7" x14ac:dyDescent="0.3">
      <c r="A132" s="1" t="s">
        <v>156</v>
      </c>
      <c r="B132" s="1" t="s">
        <v>25</v>
      </c>
      <c r="C132" s="1" t="s">
        <v>48</v>
      </c>
      <c r="D132" s="1" t="s">
        <v>19</v>
      </c>
      <c r="E132" s="1" t="s">
        <v>20</v>
      </c>
      <c r="F132" s="1" t="s">
        <v>21</v>
      </c>
      <c r="G132" s="1" t="s">
        <v>23</v>
      </c>
    </row>
    <row r="133" spans="1:7" x14ac:dyDescent="0.3">
      <c r="A133" s="1" t="s">
        <v>157</v>
      </c>
      <c r="B133" s="1" t="s">
        <v>25</v>
      </c>
      <c r="C133" s="1" t="s">
        <v>28</v>
      </c>
      <c r="D133" s="1" t="s">
        <v>19</v>
      </c>
      <c r="E133" s="1" t="s">
        <v>20</v>
      </c>
      <c r="F133" s="1" t="s">
        <v>12</v>
      </c>
      <c r="G133" s="1" t="s">
        <v>13</v>
      </c>
    </row>
    <row r="134" spans="1:7" x14ac:dyDescent="0.3">
      <c r="A134" s="1" t="s">
        <v>158</v>
      </c>
      <c r="B134" s="1" t="s">
        <v>25</v>
      </c>
      <c r="C134" s="1" t="s">
        <v>48</v>
      </c>
      <c r="D134" s="1" t="s">
        <v>19</v>
      </c>
      <c r="E134" s="1" t="s">
        <v>11</v>
      </c>
      <c r="F134" s="1" t="s">
        <v>21</v>
      </c>
      <c r="G134" s="1" t="s">
        <v>13</v>
      </c>
    </row>
    <row r="135" spans="1:7" x14ac:dyDescent="0.3">
      <c r="A135" s="1" t="s">
        <v>159</v>
      </c>
      <c r="B135" s="1" t="s">
        <v>8</v>
      </c>
      <c r="C135" s="1" t="s">
        <v>15</v>
      </c>
      <c r="D135" s="1" t="s">
        <v>19</v>
      </c>
      <c r="E135" s="1" t="s">
        <v>11</v>
      </c>
      <c r="F135" s="1" t="s">
        <v>12</v>
      </c>
      <c r="G135" s="1" t="s">
        <v>13</v>
      </c>
    </row>
    <row r="136" spans="1:7" x14ac:dyDescent="0.3">
      <c r="A136" s="1" t="s">
        <v>160</v>
      </c>
      <c r="B136" s="1" t="s">
        <v>8</v>
      </c>
      <c r="C136" s="1" t="s">
        <v>28</v>
      </c>
      <c r="D136" s="1" t="s">
        <v>16</v>
      </c>
      <c r="E136" s="1" t="s">
        <v>20</v>
      </c>
      <c r="F136" s="1" t="s">
        <v>21</v>
      </c>
      <c r="G136" s="1" t="s">
        <v>23</v>
      </c>
    </row>
    <row r="137" spans="1:7" x14ac:dyDescent="0.3">
      <c r="A137" s="1" t="s">
        <v>161</v>
      </c>
      <c r="B137" s="1" t="s">
        <v>8</v>
      </c>
      <c r="C137" s="1" t="s">
        <v>15</v>
      </c>
      <c r="D137" s="1" t="s">
        <v>16</v>
      </c>
      <c r="E137" s="1" t="s">
        <v>20</v>
      </c>
      <c r="F137" s="1" t="s">
        <v>12</v>
      </c>
      <c r="G137" s="1" t="s">
        <v>13</v>
      </c>
    </row>
    <row r="138" spans="1:7" x14ac:dyDescent="0.3">
      <c r="A138" s="1" t="s">
        <v>162</v>
      </c>
      <c r="B138" s="1" t="s">
        <v>25</v>
      </c>
      <c r="C138" s="1" t="s">
        <v>48</v>
      </c>
      <c r="D138" s="1" t="s">
        <v>19</v>
      </c>
      <c r="E138" s="1" t="s">
        <v>20</v>
      </c>
      <c r="F138" s="1" t="s">
        <v>12</v>
      </c>
      <c r="G138" s="1" t="s">
        <v>13</v>
      </c>
    </row>
    <row r="139" spans="1:7" x14ac:dyDescent="0.3">
      <c r="A139" s="1" t="s">
        <v>163</v>
      </c>
      <c r="B139" s="1" t="s">
        <v>25</v>
      </c>
      <c r="C139" s="1" t="s">
        <v>26</v>
      </c>
      <c r="D139" s="1" t="s">
        <v>19</v>
      </c>
      <c r="E139" s="1" t="s">
        <v>11</v>
      </c>
      <c r="F139" s="1" t="s">
        <v>21</v>
      </c>
      <c r="G139" s="1" t="s">
        <v>13</v>
      </c>
    </row>
    <row r="140" spans="1:7" x14ac:dyDescent="0.3">
      <c r="A140" s="1" t="s">
        <v>164</v>
      </c>
      <c r="B140" s="1" t="s">
        <v>8</v>
      </c>
      <c r="C140" s="1" t="s">
        <v>26</v>
      </c>
      <c r="D140" s="1" t="s">
        <v>16</v>
      </c>
      <c r="E140" s="1" t="s">
        <v>20</v>
      </c>
      <c r="F140" s="1" t="s">
        <v>12</v>
      </c>
      <c r="G140" s="1" t="s">
        <v>23</v>
      </c>
    </row>
    <row r="141" spans="1:7" x14ac:dyDescent="0.3">
      <c r="A141" s="1" t="s">
        <v>165</v>
      </c>
      <c r="B141" s="1" t="s">
        <v>25</v>
      </c>
      <c r="C141" s="1" t="s">
        <v>26</v>
      </c>
      <c r="D141" s="1" t="s">
        <v>31</v>
      </c>
      <c r="E141" s="1" t="s">
        <v>11</v>
      </c>
      <c r="F141" s="1" t="s">
        <v>17</v>
      </c>
      <c r="G141" s="1" t="s">
        <v>23</v>
      </c>
    </row>
    <row r="142" spans="1:7" x14ac:dyDescent="0.3">
      <c r="A142" s="1" t="s">
        <v>166</v>
      </c>
      <c r="B142" s="1" t="s">
        <v>25</v>
      </c>
      <c r="C142" s="1" t="s">
        <v>28</v>
      </c>
      <c r="D142" s="1" t="s">
        <v>19</v>
      </c>
      <c r="E142" s="1" t="s">
        <v>20</v>
      </c>
      <c r="F142" s="1" t="s">
        <v>21</v>
      </c>
      <c r="G142" s="1" t="s">
        <v>13</v>
      </c>
    </row>
    <row r="143" spans="1:7" x14ac:dyDescent="0.3">
      <c r="A143" s="1" t="s">
        <v>167</v>
      </c>
      <c r="B143" s="1" t="s">
        <v>8</v>
      </c>
      <c r="C143" s="1" t="s">
        <v>9</v>
      </c>
      <c r="D143" s="1" t="s">
        <v>19</v>
      </c>
      <c r="E143" s="1" t="s">
        <v>11</v>
      </c>
      <c r="F143" s="1" t="s">
        <v>21</v>
      </c>
      <c r="G143" s="1" t="s">
        <v>13</v>
      </c>
    </row>
    <row r="144" spans="1:7" x14ac:dyDescent="0.3">
      <c r="A144" s="1" t="s">
        <v>168</v>
      </c>
      <c r="B144" s="1" t="s">
        <v>8</v>
      </c>
      <c r="C144" s="1" t="s">
        <v>28</v>
      </c>
      <c r="D144" s="1" t="s">
        <v>10</v>
      </c>
      <c r="E144" s="1" t="s">
        <v>11</v>
      </c>
      <c r="F144" s="1" t="s">
        <v>21</v>
      </c>
      <c r="G144" s="1" t="s">
        <v>13</v>
      </c>
    </row>
    <row r="145" spans="1:7" x14ac:dyDescent="0.3">
      <c r="A145" s="1" t="s">
        <v>169</v>
      </c>
      <c r="B145" s="1" t="s">
        <v>25</v>
      </c>
      <c r="C145" s="1" t="s">
        <v>15</v>
      </c>
      <c r="D145" s="1" t="s">
        <v>16</v>
      </c>
      <c r="E145" s="1" t="s">
        <v>20</v>
      </c>
      <c r="F145" s="1" t="s">
        <v>21</v>
      </c>
      <c r="G145" s="1" t="s">
        <v>23</v>
      </c>
    </row>
    <row r="146" spans="1:7" x14ac:dyDescent="0.3">
      <c r="A146" s="1" t="s">
        <v>170</v>
      </c>
      <c r="B146" s="1" t="s">
        <v>8</v>
      </c>
      <c r="C146" s="1" t="s">
        <v>48</v>
      </c>
      <c r="D146" s="1" t="s">
        <v>16</v>
      </c>
      <c r="E146" s="1" t="s">
        <v>20</v>
      </c>
      <c r="F146" s="1" t="s">
        <v>12</v>
      </c>
      <c r="G146" s="1" t="s">
        <v>23</v>
      </c>
    </row>
    <row r="147" spans="1:7" x14ac:dyDescent="0.3">
      <c r="A147" s="1" t="s">
        <v>171</v>
      </c>
      <c r="B147" s="1" t="s">
        <v>8</v>
      </c>
      <c r="C147" s="1" t="s">
        <v>9</v>
      </c>
      <c r="D147" s="1" t="s">
        <v>10</v>
      </c>
      <c r="E147" s="1" t="s">
        <v>20</v>
      </c>
      <c r="F147" s="1" t="s">
        <v>17</v>
      </c>
      <c r="G147" s="1" t="s">
        <v>23</v>
      </c>
    </row>
    <row r="148" spans="1:7" x14ac:dyDescent="0.3">
      <c r="A148" s="1" t="s">
        <v>172</v>
      </c>
      <c r="B148" s="1" t="s">
        <v>8</v>
      </c>
      <c r="C148" s="1" t="s">
        <v>9</v>
      </c>
      <c r="D148" s="1" t="s">
        <v>16</v>
      </c>
      <c r="E148" s="1" t="s">
        <v>11</v>
      </c>
      <c r="F148" s="1" t="s">
        <v>17</v>
      </c>
      <c r="G148" s="1" t="s">
        <v>23</v>
      </c>
    </row>
    <row r="149" spans="1:7" x14ac:dyDescent="0.3">
      <c r="A149" s="1" t="s">
        <v>173</v>
      </c>
      <c r="B149" s="1" t="s">
        <v>8</v>
      </c>
      <c r="C149" s="1" t="s">
        <v>26</v>
      </c>
      <c r="D149" s="1" t="s">
        <v>16</v>
      </c>
      <c r="E149" s="1" t="s">
        <v>20</v>
      </c>
      <c r="F149" s="1" t="s">
        <v>21</v>
      </c>
      <c r="G149" s="1" t="s">
        <v>13</v>
      </c>
    </row>
    <row r="150" spans="1:7" x14ac:dyDescent="0.3">
      <c r="A150" s="1" t="s">
        <v>174</v>
      </c>
      <c r="B150" s="1" t="s">
        <v>25</v>
      </c>
      <c r="C150" s="1" t="s">
        <v>36</v>
      </c>
      <c r="D150" s="1" t="s">
        <v>19</v>
      </c>
      <c r="E150" s="1" t="s">
        <v>20</v>
      </c>
      <c r="F150" s="1" t="s">
        <v>12</v>
      </c>
      <c r="G150" s="1" t="s">
        <v>13</v>
      </c>
    </row>
    <row r="151" spans="1:7" x14ac:dyDescent="0.3">
      <c r="A151" s="1" t="s">
        <v>175</v>
      </c>
      <c r="B151" s="1" t="s">
        <v>8</v>
      </c>
      <c r="C151" s="1" t="s">
        <v>26</v>
      </c>
      <c r="D151" s="1" t="s">
        <v>16</v>
      </c>
      <c r="E151" s="1" t="s">
        <v>20</v>
      </c>
      <c r="F151" s="1" t="s">
        <v>17</v>
      </c>
      <c r="G151" s="1" t="s">
        <v>13</v>
      </c>
    </row>
    <row r="152" spans="1:7" x14ac:dyDescent="0.3">
      <c r="A152" s="1" t="s">
        <v>176</v>
      </c>
      <c r="B152" s="1" t="s">
        <v>25</v>
      </c>
      <c r="C152" s="1" t="s">
        <v>15</v>
      </c>
      <c r="D152" s="1" t="s">
        <v>10</v>
      </c>
      <c r="E152" s="1" t="s">
        <v>11</v>
      </c>
      <c r="F152" s="1" t="s">
        <v>12</v>
      </c>
      <c r="G152" s="1" t="s">
        <v>23</v>
      </c>
    </row>
    <row r="153" spans="1:7" x14ac:dyDescent="0.3">
      <c r="A153" s="1" t="s">
        <v>177</v>
      </c>
      <c r="B153" s="1" t="s">
        <v>25</v>
      </c>
      <c r="C153" s="1" t="s">
        <v>26</v>
      </c>
      <c r="D153" s="1" t="s">
        <v>19</v>
      </c>
      <c r="E153" s="1" t="s">
        <v>20</v>
      </c>
      <c r="F153" s="1" t="s">
        <v>21</v>
      </c>
      <c r="G153" s="1" t="s">
        <v>13</v>
      </c>
    </row>
    <row r="154" spans="1:7" x14ac:dyDescent="0.3">
      <c r="A154" s="1" t="s">
        <v>178</v>
      </c>
      <c r="B154" s="1" t="s">
        <v>8</v>
      </c>
      <c r="C154" s="1" t="s">
        <v>26</v>
      </c>
      <c r="D154" s="1" t="s">
        <v>31</v>
      </c>
      <c r="E154" s="1" t="s">
        <v>20</v>
      </c>
      <c r="F154" s="1" t="s">
        <v>17</v>
      </c>
      <c r="G154" s="1" t="s">
        <v>13</v>
      </c>
    </row>
    <row r="155" spans="1:7" x14ac:dyDescent="0.3">
      <c r="A155" s="1" t="s">
        <v>179</v>
      </c>
      <c r="B155" s="1" t="s">
        <v>8</v>
      </c>
      <c r="C155" s="1" t="s">
        <v>48</v>
      </c>
      <c r="D155" s="1" t="s">
        <v>19</v>
      </c>
      <c r="E155" s="1" t="s">
        <v>20</v>
      </c>
      <c r="F155" s="1" t="s">
        <v>21</v>
      </c>
      <c r="G155" s="1" t="s">
        <v>13</v>
      </c>
    </row>
    <row r="156" spans="1:7" x14ac:dyDescent="0.3">
      <c r="A156" s="1" t="s">
        <v>180</v>
      </c>
      <c r="B156" s="1" t="s">
        <v>8</v>
      </c>
      <c r="C156" s="1" t="s">
        <v>36</v>
      </c>
      <c r="D156" s="1" t="s">
        <v>10</v>
      </c>
      <c r="E156" s="1" t="s">
        <v>11</v>
      </c>
      <c r="F156" s="1" t="s">
        <v>21</v>
      </c>
      <c r="G156" s="1" t="s">
        <v>13</v>
      </c>
    </row>
    <row r="157" spans="1:7" x14ac:dyDescent="0.3">
      <c r="A157" s="1" t="s">
        <v>181</v>
      </c>
      <c r="B157" s="1" t="s">
        <v>8</v>
      </c>
      <c r="C157" s="1" t="s">
        <v>26</v>
      </c>
      <c r="D157" s="1" t="s">
        <v>19</v>
      </c>
      <c r="E157" s="1" t="s">
        <v>20</v>
      </c>
      <c r="F157" s="1" t="s">
        <v>21</v>
      </c>
      <c r="G157" s="1" t="s">
        <v>13</v>
      </c>
    </row>
    <row r="158" spans="1:7" x14ac:dyDescent="0.3">
      <c r="A158" s="1" t="s">
        <v>182</v>
      </c>
      <c r="B158" s="1" t="s">
        <v>25</v>
      </c>
      <c r="C158" s="1" t="s">
        <v>48</v>
      </c>
      <c r="D158" s="1" t="s">
        <v>31</v>
      </c>
      <c r="E158" s="1" t="s">
        <v>20</v>
      </c>
      <c r="F158" s="1" t="s">
        <v>12</v>
      </c>
      <c r="G158" s="1" t="s">
        <v>23</v>
      </c>
    </row>
    <row r="159" spans="1:7" x14ac:dyDescent="0.3">
      <c r="A159" s="1" t="s">
        <v>183</v>
      </c>
      <c r="B159" s="1" t="s">
        <v>8</v>
      </c>
      <c r="C159" s="1" t="s">
        <v>28</v>
      </c>
      <c r="D159" s="1" t="s">
        <v>31</v>
      </c>
      <c r="E159" s="1" t="s">
        <v>11</v>
      </c>
      <c r="F159" s="1" t="s">
        <v>21</v>
      </c>
      <c r="G159" s="1" t="s">
        <v>13</v>
      </c>
    </row>
    <row r="160" spans="1:7" x14ac:dyDescent="0.3">
      <c r="A160" s="1" t="s">
        <v>184</v>
      </c>
      <c r="B160" s="1" t="s">
        <v>25</v>
      </c>
      <c r="C160" s="1" t="s">
        <v>26</v>
      </c>
      <c r="D160" s="1" t="s">
        <v>19</v>
      </c>
      <c r="E160" s="1" t="s">
        <v>20</v>
      </c>
      <c r="F160" s="1" t="s">
        <v>21</v>
      </c>
      <c r="G160" s="1" t="s">
        <v>13</v>
      </c>
    </row>
    <row r="161" spans="1:7" x14ac:dyDescent="0.3">
      <c r="A161" s="1" t="s">
        <v>185</v>
      </c>
      <c r="B161" s="1" t="s">
        <v>25</v>
      </c>
      <c r="C161" s="1" t="s">
        <v>48</v>
      </c>
      <c r="D161" s="1" t="s">
        <v>10</v>
      </c>
      <c r="E161" s="1" t="s">
        <v>20</v>
      </c>
      <c r="F161" s="1" t="s">
        <v>21</v>
      </c>
      <c r="G161" s="1" t="s">
        <v>23</v>
      </c>
    </row>
    <row r="162" spans="1:7" x14ac:dyDescent="0.3">
      <c r="A162" s="1" t="s">
        <v>186</v>
      </c>
      <c r="B162" s="1" t="s">
        <v>25</v>
      </c>
      <c r="C162" s="1" t="s">
        <v>28</v>
      </c>
      <c r="D162" s="1" t="s">
        <v>10</v>
      </c>
      <c r="E162" s="1" t="s">
        <v>11</v>
      </c>
      <c r="F162" s="1" t="s">
        <v>17</v>
      </c>
      <c r="G162" s="1" t="s">
        <v>23</v>
      </c>
    </row>
    <row r="163" spans="1:7" x14ac:dyDescent="0.3">
      <c r="A163" s="1" t="s">
        <v>187</v>
      </c>
      <c r="B163" s="1" t="s">
        <v>25</v>
      </c>
      <c r="C163" s="1" t="s">
        <v>36</v>
      </c>
      <c r="D163" s="1" t="s">
        <v>19</v>
      </c>
      <c r="E163" s="1" t="s">
        <v>11</v>
      </c>
      <c r="F163" s="1" t="s">
        <v>21</v>
      </c>
      <c r="G163" s="1" t="s">
        <v>13</v>
      </c>
    </row>
    <row r="164" spans="1:7" x14ac:dyDescent="0.3">
      <c r="A164" s="1" t="s">
        <v>188</v>
      </c>
      <c r="B164" s="1" t="s">
        <v>8</v>
      </c>
      <c r="C164" s="1" t="s">
        <v>48</v>
      </c>
      <c r="D164" s="1" t="s">
        <v>31</v>
      </c>
      <c r="E164" s="1" t="s">
        <v>11</v>
      </c>
      <c r="F164" s="1" t="s">
        <v>12</v>
      </c>
      <c r="G164" s="1" t="s">
        <v>23</v>
      </c>
    </row>
    <row r="165" spans="1:7" x14ac:dyDescent="0.3">
      <c r="A165" s="1" t="s">
        <v>189</v>
      </c>
      <c r="B165" s="1" t="s">
        <v>8</v>
      </c>
      <c r="C165" s="1" t="s">
        <v>26</v>
      </c>
      <c r="D165" s="1" t="s">
        <v>31</v>
      </c>
      <c r="E165" s="1" t="s">
        <v>20</v>
      </c>
      <c r="F165" s="1" t="s">
        <v>12</v>
      </c>
      <c r="G165" s="1" t="s">
        <v>13</v>
      </c>
    </row>
    <row r="166" spans="1:7" x14ac:dyDescent="0.3">
      <c r="A166" s="1" t="s">
        <v>190</v>
      </c>
      <c r="B166" s="1" t="s">
        <v>25</v>
      </c>
      <c r="C166" s="1" t="s">
        <v>48</v>
      </c>
      <c r="D166" s="1" t="s">
        <v>19</v>
      </c>
      <c r="E166" s="1" t="s">
        <v>20</v>
      </c>
      <c r="F166" s="1" t="s">
        <v>12</v>
      </c>
      <c r="G166" s="1" t="s">
        <v>23</v>
      </c>
    </row>
    <row r="167" spans="1:7" x14ac:dyDescent="0.3">
      <c r="A167" s="1" t="s">
        <v>191</v>
      </c>
      <c r="B167" s="1" t="s">
        <v>25</v>
      </c>
      <c r="C167" s="1" t="s">
        <v>36</v>
      </c>
      <c r="D167" s="1" t="s">
        <v>19</v>
      </c>
      <c r="E167" s="1" t="s">
        <v>20</v>
      </c>
      <c r="F167" s="1" t="s">
        <v>21</v>
      </c>
      <c r="G167" s="1" t="s">
        <v>23</v>
      </c>
    </row>
    <row r="168" spans="1:7" x14ac:dyDescent="0.3">
      <c r="A168" s="1" t="s">
        <v>192</v>
      </c>
      <c r="B168" s="1" t="s">
        <v>8</v>
      </c>
      <c r="C168" s="1" t="s">
        <v>36</v>
      </c>
      <c r="D168" s="1" t="s">
        <v>19</v>
      </c>
      <c r="E168" s="1" t="s">
        <v>20</v>
      </c>
      <c r="F168" s="1" t="s">
        <v>12</v>
      </c>
      <c r="G168" s="1" t="s">
        <v>13</v>
      </c>
    </row>
    <row r="169" spans="1:7" x14ac:dyDescent="0.3">
      <c r="A169" s="1" t="s">
        <v>193</v>
      </c>
      <c r="B169" s="1" t="s">
        <v>25</v>
      </c>
      <c r="C169" s="1" t="s">
        <v>48</v>
      </c>
      <c r="D169" s="1" t="s">
        <v>16</v>
      </c>
      <c r="E169" s="1" t="s">
        <v>20</v>
      </c>
      <c r="F169" s="1" t="s">
        <v>21</v>
      </c>
      <c r="G169" s="1" t="s">
        <v>23</v>
      </c>
    </row>
    <row r="170" spans="1:7" x14ac:dyDescent="0.3">
      <c r="A170" s="1" t="s">
        <v>194</v>
      </c>
      <c r="B170" s="1" t="s">
        <v>8</v>
      </c>
      <c r="C170" s="1" t="s">
        <v>28</v>
      </c>
      <c r="D170" s="1" t="s">
        <v>16</v>
      </c>
      <c r="E170" s="1" t="s">
        <v>11</v>
      </c>
      <c r="F170" s="1" t="s">
        <v>12</v>
      </c>
      <c r="G170" s="1" t="s">
        <v>23</v>
      </c>
    </row>
    <row r="171" spans="1:7" x14ac:dyDescent="0.3">
      <c r="A171" s="1" t="s">
        <v>195</v>
      </c>
      <c r="B171" s="1" t="s">
        <v>25</v>
      </c>
      <c r="C171" s="1" t="s">
        <v>26</v>
      </c>
      <c r="D171" s="1" t="s">
        <v>19</v>
      </c>
      <c r="E171" s="1" t="s">
        <v>11</v>
      </c>
      <c r="F171" s="1" t="s">
        <v>21</v>
      </c>
      <c r="G171" s="1" t="s">
        <v>23</v>
      </c>
    </row>
    <row r="172" spans="1:7" x14ac:dyDescent="0.3">
      <c r="A172" s="1" t="s">
        <v>196</v>
      </c>
      <c r="B172" s="1" t="s">
        <v>25</v>
      </c>
      <c r="C172" s="1" t="s">
        <v>28</v>
      </c>
      <c r="D172" s="1" t="s">
        <v>19</v>
      </c>
      <c r="E172" s="1" t="s">
        <v>11</v>
      </c>
      <c r="F172" s="1" t="s">
        <v>21</v>
      </c>
      <c r="G172" s="1" t="s">
        <v>13</v>
      </c>
    </row>
    <row r="173" spans="1:7" x14ac:dyDescent="0.3">
      <c r="A173" s="1" t="s">
        <v>197</v>
      </c>
      <c r="B173" s="1" t="s">
        <v>25</v>
      </c>
      <c r="C173" s="1" t="s">
        <v>36</v>
      </c>
      <c r="D173" s="1" t="s">
        <v>19</v>
      </c>
      <c r="E173" s="1" t="s">
        <v>20</v>
      </c>
      <c r="F173" s="1" t="s">
        <v>12</v>
      </c>
      <c r="G173" s="1" t="s">
        <v>13</v>
      </c>
    </row>
    <row r="174" spans="1:7" x14ac:dyDescent="0.3">
      <c r="A174" s="1" t="s">
        <v>198</v>
      </c>
      <c r="B174" s="1" t="s">
        <v>25</v>
      </c>
      <c r="C174" s="1" t="s">
        <v>9</v>
      </c>
      <c r="D174" s="1" t="s">
        <v>19</v>
      </c>
      <c r="E174" s="1" t="s">
        <v>11</v>
      </c>
      <c r="F174" s="1" t="s">
        <v>21</v>
      </c>
      <c r="G174" s="1" t="s">
        <v>13</v>
      </c>
    </row>
    <row r="175" spans="1:7" x14ac:dyDescent="0.3">
      <c r="A175" s="1" t="s">
        <v>199</v>
      </c>
      <c r="B175" s="1" t="s">
        <v>25</v>
      </c>
      <c r="C175" s="1" t="s">
        <v>48</v>
      </c>
      <c r="D175" s="1" t="s">
        <v>19</v>
      </c>
      <c r="E175" s="1" t="s">
        <v>11</v>
      </c>
      <c r="F175" s="1" t="s">
        <v>21</v>
      </c>
      <c r="G175" s="1" t="s">
        <v>13</v>
      </c>
    </row>
    <row r="176" spans="1:7" x14ac:dyDescent="0.3">
      <c r="A176" s="1" t="s">
        <v>200</v>
      </c>
      <c r="B176" s="1" t="s">
        <v>8</v>
      </c>
      <c r="C176" s="1" t="s">
        <v>48</v>
      </c>
      <c r="D176" s="1" t="s">
        <v>16</v>
      </c>
      <c r="E176" s="1" t="s">
        <v>11</v>
      </c>
      <c r="F176" s="1" t="s">
        <v>21</v>
      </c>
      <c r="G176" s="1" t="s">
        <v>13</v>
      </c>
    </row>
    <row r="177" spans="1:7" x14ac:dyDescent="0.3">
      <c r="A177" s="1" t="s">
        <v>201</v>
      </c>
      <c r="B177" s="1" t="s">
        <v>8</v>
      </c>
      <c r="C177" s="1" t="s">
        <v>9</v>
      </c>
      <c r="D177" s="1" t="s">
        <v>19</v>
      </c>
      <c r="E177" s="1" t="s">
        <v>11</v>
      </c>
      <c r="F177" s="1" t="s">
        <v>21</v>
      </c>
      <c r="G177" s="1" t="s">
        <v>13</v>
      </c>
    </row>
    <row r="178" spans="1:7" x14ac:dyDescent="0.3">
      <c r="A178" s="1" t="s">
        <v>202</v>
      </c>
      <c r="B178" s="1" t="s">
        <v>25</v>
      </c>
      <c r="C178" s="1" t="s">
        <v>26</v>
      </c>
      <c r="D178" s="1" t="s">
        <v>19</v>
      </c>
      <c r="E178" s="1" t="s">
        <v>20</v>
      </c>
      <c r="F178" s="1" t="s">
        <v>21</v>
      </c>
      <c r="G178" s="1" t="s">
        <v>13</v>
      </c>
    </row>
    <row r="179" spans="1:7" x14ac:dyDescent="0.3">
      <c r="A179" s="1" t="s">
        <v>203</v>
      </c>
      <c r="B179" s="1" t="s">
        <v>8</v>
      </c>
      <c r="C179" s="1" t="s">
        <v>28</v>
      </c>
      <c r="D179" s="1" t="s">
        <v>16</v>
      </c>
      <c r="E179" s="1" t="s">
        <v>20</v>
      </c>
      <c r="F179" s="1" t="s">
        <v>21</v>
      </c>
      <c r="G179" s="1" t="s">
        <v>23</v>
      </c>
    </row>
    <row r="180" spans="1:7" x14ac:dyDescent="0.3">
      <c r="A180" s="1" t="s">
        <v>204</v>
      </c>
      <c r="B180" s="1" t="s">
        <v>25</v>
      </c>
      <c r="C180" s="1" t="s">
        <v>28</v>
      </c>
      <c r="D180" s="1" t="s">
        <v>19</v>
      </c>
      <c r="E180" s="1" t="s">
        <v>11</v>
      </c>
      <c r="F180" s="1" t="s">
        <v>21</v>
      </c>
      <c r="G180" s="1" t="s">
        <v>13</v>
      </c>
    </row>
    <row r="181" spans="1:7" x14ac:dyDescent="0.3">
      <c r="A181" s="1" t="s">
        <v>205</v>
      </c>
      <c r="B181" s="1" t="s">
        <v>25</v>
      </c>
      <c r="C181" s="1" t="s">
        <v>36</v>
      </c>
      <c r="D181" s="1" t="s">
        <v>10</v>
      </c>
      <c r="E181" s="1" t="s">
        <v>20</v>
      </c>
      <c r="F181" s="1" t="s">
        <v>12</v>
      </c>
      <c r="G181" s="1" t="s">
        <v>23</v>
      </c>
    </row>
    <row r="182" spans="1:7" x14ac:dyDescent="0.3">
      <c r="A182" s="1" t="s">
        <v>206</v>
      </c>
      <c r="B182" s="1" t="s">
        <v>25</v>
      </c>
      <c r="C182" s="1" t="s">
        <v>9</v>
      </c>
      <c r="D182" s="1" t="s">
        <v>19</v>
      </c>
      <c r="E182" s="1" t="s">
        <v>11</v>
      </c>
      <c r="F182" s="1" t="s">
        <v>21</v>
      </c>
      <c r="G182" s="1" t="s">
        <v>13</v>
      </c>
    </row>
    <row r="183" spans="1:7" x14ac:dyDescent="0.3">
      <c r="A183" s="1" t="s">
        <v>207</v>
      </c>
      <c r="B183" s="1" t="s">
        <v>25</v>
      </c>
      <c r="C183" s="1" t="s">
        <v>36</v>
      </c>
      <c r="D183" s="1" t="s">
        <v>19</v>
      </c>
      <c r="E183" s="1" t="s">
        <v>11</v>
      </c>
      <c r="F183" s="1" t="s">
        <v>21</v>
      </c>
      <c r="G183" s="1" t="s">
        <v>13</v>
      </c>
    </row>
    <row r="184" spans="1:7" x14ac:dyDescent="0.3">
      <c r="A184" s="1" t="s">
        <v>208</v>
      </c>
      <c r="B184" s="1" t="s">
        <v>25</v>
      </c>
      <c r="C184" s="1" t="s">
        <v>26</v>
      </c>
      <c r="D184" s="1" t="s">
        <v>31</v>
      </c>
      <c r="E184" s="1" t="s">
        <v>20</v>
      </c>
      <c r="F184" s="1" t="s">
        <v>12</v>
      </c>
      <c r="G184" s="1" t="s">
        <v>23</v>
      </c>
    </row>
    <row r="185" spans="1:7" x14ac:dyDescent="0.3">
      <c r="A185" s="1" t="s">
        <v>209</v>
      </c>
      <c r="B185" s="1" t="s">
        <v>25</v>
      </c>
      <c r="C185" s="1" t="s">
        <v>26</v>
      </c>
      <c r="D185" s="1" t="s">
        <v>19</v>
      </c>
      <c r="E185" s="1" t="s">
        <v>20</v>
      </c>
      <c r="F185" s="1" t="s">
        <v>21</v>
      </c>
      <c r="G185" s="1" t="s">
        <v>13</v>
      </c>
    </row>
    <row r="186" spans="1:7" x14ac:dyDescent="0.3">
      <c r="A186" s="1" t="s">
        <v>210</v>
      </c>
      <c r="B186" s="1" t="s">
        <v>25</v>
      </c>
      <c r="C186" s="1" t="s">
        <v>36</v>
      </c>
      <c r="D186" s="1" t="s">
        <v>19</v>
      </c>
      <c r="E186" s="1" t="s">
        <v>11</v>
      </c>
      <c r="F186" s="1" t="s">
        <v>21</v>
      </c>
      <c r="G186" s="1" t="s">
        <v>13</v>
      </c>
    </row>
    <row r="187" spans="1:7" x14ac:dyDescent="0.3">
      <c r="A187" s="1" t="s">
        <v>211</v>
      </c>
      <c r="B187" s="1" t="s">
        <v>25</v>
      </c>
      <c r="C187" s="1" t="s">
        <v>26</v>
      </c>
      <c r="D187" s="1" t="s">
        <v>19</v>
      </c>
      <c r="E187" s="1" t="s">
        <v>11</v>
      </c>
      <c r="F187" s="1" t="s">
        <v>12</v>
      </c>
      <c r="G187" s="1" t="s">
        <v>13</v>
      </c>
    </row>
    <row r="188" spans="1:7" x14ac:dyDescent="0.3">
      <c r="A188" s="1" t="s">
        <v>212</v>
      </c>
      <c r="B188" s="1" t="s">
        <v>25</v>
      </c>
      <c r="C188" s="1" t="s">
        <v>15</v>
      </c>
      <c r="D188" s="1" t="s">
        <v>16</v>
      </c>
      <c r="E188" s="1" t="s">
        <v>20</v>
      </c>
      <c r="F188" s="1" t="s">
        <v>17</v>
      </c>
      <c r="G188" s="1" t="s">
        <v>23</v>
      </c>
    </row>
    <row r="189" spans="1:7" x14ac:dyDescent="0.3">
      <c r="A189" s="1" t="s">
        <v>213</v>
      </c>
      <c r="B189" s="1" t="s">
        <v>8</v>
      </c>
      <c r="C189" s="1" t="s">
        <v>9</v>
      </c>
      <c r="D189" s="1" t="s">
        <v>10</v>
      </c>
      <c r="E189" s="1" t="s">
        <v>11</v>
      </c>
      <c r="F189" s="1" t="s">
        <v>12</v>
      </c>
      <c r="G189" s="1" t="s">
        <v>23</v>
      </c>
    </row>
    <row r="190" spans="1:7" x14ac:dyDescent="0.3">
      <c r="A190" s="1" t="s">
        <v>214</v>
      </c>
      <c r="B190" s="1" t="s">
        <v>8</v>
      </c>
      <c r="C190" s="1" t="s">
        <v>28</v>
      </c>
      <c r="D190" s="1" t="s">
        <v>16</v>
      </c>
      <c r="E190" s="1" t="s">
        <v>20</v>
      </c>
      <c r="F190" s="1" t="s">
        <v>17</v>
      </c>
      <c r="G190" s="1" t="s">
        <v>13</v>
      </c>
    </row>
    <row r="191" spans="1:7" x14ac:dyDescent="0.3">
      <c r="A191" s="1" t="s">
        <v>215</v>
      </c>
      <c r="B191" s="1" t="s">
        <v>25</v>
      </c>
      <c r="C191" s="1" t="s">
        <v>15</v>
      </c>
      <c r="D191" s="1" t="s">
        <v>19</v>
      </c>
      <c r="E191" s="1" t="s">
        <v>11</v>
      </c>
      <c r="F191" s="1" t="s">
        <v>21</v>
      </c>
      <c r="G191" s="1" t="s">
        <v>13</v>
      </c>
    </row>
    <row r="192" spans="1:7" x14ac:dyDescent="0.3">
      <c r="A192" s="1" t="s">
        <v>216</v>
      </c>
      <c r="B192" s="1" t="s">
        <v>8</v>
      </c>
      <c r="C192" s="1" t="s">
        <v>48</v>
      </c>
      <c r="D192" s="1" t="s">
        <v>16</v>
      </c>
      <c r="E192" s="1" t="s">
        <v>11</v>
      </c>
      <c r="F192" s="1" t="s">
        <v>12</v>
      </c>
      <c r="G192" s="1" t="s">
        <v>13</v>
      </c>
    </row>
    <row r="193" spans="1:7" x14ac:dyDescent="0.3">
      <c r="A193" s="1" t="s">
        <v>217</v>
      </c>
      <c r="B193" s="1" t="s">
        <v>8</v>
      </c>
      <c r="C193" s="1" t="s">
        <v>28</v>
      </c>
      <c r="D193" s="1" t="s">
        <v>16</v>
      </c>
      <c r="E193" s="1" t="s">
        <v>11</v>
      </c>
      <c r="F193" s="1" t="s">
        <v>17</v>
      </c>
      <c r="G193" s="1" t="s">
        <v>23</v>
      </c>
    </row>
    <row r="194" spans="1:7" x14ac:dyDescent="0.3">
      <c r="A194" s="1" t="s">
        <v>218</v>
      </c>
      <c r="B194" s="1" t="s">
        <v>8</v>
      </c>
      <c r="C194" s="1" t="s">
        <v>9</v>
      </c>
      <c r="D194" s="1" t="s">
        <v>10</v>
      </c>
      <c r="E194" s="1" t="s">
        <v>20</v>
      </c>
      <c r="F194" s="1" t="s">
        <v>17</v>
      </c>
      <c r="G194" s="1"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2BBBB-7505-4031-8436-995E73FC8771}">
  <dimension ref="A2:M25"/>
  <sheetViews>
    <sheetView zoomScale="98" zoomScaleNormal="98" workbookViewId="0">
      <selection activeCell="G20" sqref="G20"/>
    </sheetView>
  </sheetViews>
  <sheetFormatPr defaultRowHeight="14.4" x14ac:dyDescent="0.3"/>
  <cols>
    <col min="1" max="1" width="9.5546875" bestFit="1" customWidth="1"/>
    <col min="2" max="3" width="6" bestFit="1" customWidth="1"/>
    <col min="5" max="5" width="9.5546875" bestFit="1" customWidth="1"/>
    <col min="6" max="6" width="6.109375" bestFit="1" customWidth="1"/>
    <col min="8" max="8" width="16.33203125" bestFit="1" customWidth="1"/>
    <col min="9" max="9" width="6.109375" bestFit="1" customWidth="1"/>
  </cols>
  <sheetData>
    <row r="2" spans="1:13" x14ac:dyDescent="0.3">
      <c r="E2" t="s">
        <v>219</v>
      </c>
      <c r="H2" s="3" t="s">
        <v>223</v>
      </c>
      <c r="I2" t="s">
        <v>219</v>
      </c>
      <c r="M2" s="5"/>
    </row>
    <row r="3" spans="1:13" x14ac:dyDescent="0.3">
      <c r="A3" t="s">
        <v>228</v>
      </c>
      <c r="E3" s="2">
        <v>0.43523316062176165</v>
      </c>
      <c r="H3" s="4" t="s">
        <v>28</v>
      </c>
      <c r="I3" s="2">
        <v>0.40625</v>
      </c>
      <c r="M3" s="6"/>
    </row>
    <row r="4" spans="1:13" x14ac:dyDescent="0.3">
      <c r="A4" s="11">
        <v>84</v>
      </c>
      <c r="H4" s="4" t="s">
        <v>48</v>
      </c>
      <c r="I4" s="2">
        <v>0.35483870967741937</v>
      </c>
      <c r="M4" s="6"/>
    </row>
    <row r="5" spans="1:13" x14ac:dyDescent="0.3">
      <c r="E5" s="3" t="s">
        <v>221</v>
      </c>
      <c r="F5" t="s">
        <v>219</v>
      </c>
      <c r="H5" s="4" t="s">
        <v>9</v>
      </c>
      <c r="I5" s="2">
        <v>0.48571428571428571</v>
      </c>
    </row>
    <row r="6" spans="1:13" x14ac:dyDescent="0.3">
      <c r="E6" s="4" t="s">
        <v>8</v>
      </c>
      <c r="F6" s="2">
        <v>0.20192307692307693</v>
      </c>
      <c r="H6" s="4" t="s">
        <v>26</v>
      </c>
      <c r="I6" s="2">
        <v>0.4</v>
      </c>
    </row>
    <row r="7" spans="1:13" x14ac:dyDescent="0.3">
      <c r="E7" s="4" t="s">
        <v>25</v>
      </c>
      <c r="F7" s="2">
        <v>0.7078651685393258</v>
      </c>
      <c r="H7" s="4" t="s">
        <v>15</v>
      </c>
      <c r="I7" s="2">
        <v>0.35714285714285715</v>
      </c>
    </row>
    <row r="8" spans="1:13" x14ac:dyDescent="0.3">
      <c r="E8" s="4" t="s">
        <v>220</v>
      </c>
      <c r="F8" s="2">
        <v>0.43523316062176165</v>
      </c>
      <c r="H8" s="4" t="s">
        <v>36</v>
      </c>
      <c r="I8" s="2">
        <v>0.62962962962962965</v>
      </c>
    </row>
    <row r="9" spans="1:13" x14ac:dyDescent="0.3">
      <c r="H9" s="4" t="s">
        <v>220</v>
      </c>
      <c r="I9" s="2">
        <v>0.43523316062176165</v>
      </c>
    </row>
    <row r="10" spans="1:13" x14ac:dyDescent="0.3">
      <c r="E10" s="3" t="s">
        <v>222</v>
      </c>
      <c r="F10" t="s">
        <v>219</v>
      </c>
    </row>
    <row r="11" spans="1:13" x14ac:dyDescent="0.3">
      <c r="E11" s="4" t="s">
        <v>23</v>
      </c>
      <c r="F11" s="2">
        <v>0.1951219512195122</v>
      </c>
      <c r="H11" s="3" t="s">
        <v>224</v>
      </c>
      <c r="I11" t="s">
        <v>219</v>
      </c>
    </row>
    <row r="12" spans="1:13" x14ac:dyDescent="0.3">
      <c r="E12" s="4" t="s">
        <v>13</v>
      </c>
      <c r="F12" s="2">
        <v>0.61261261261261257</v>
      </c>
      <c r="H12" s="4" t="s">
        <v>11</v>
      </c>
      <c r="I12" s="2">
        <v>0.44117647058823528</v>
      </c>
    </row>
    <row r="13" spans="1:13" x14ac:dyDescent="0.3">
      <c r="E13" s="4" t="s">
        <v>220</v>
      </c>
      <c r="F13" s="2">
        <v>0.43523316062176165</v>
      </c>
      <c r="H13" s="4" t="s">
        <v>20</v>
      </c>
      <c r="I13" s="2">
        <v>0.42857142857142855</v>
      </c>
    </row>
    <row r="14" spans="1:13" x14ac:dyDescent="0.3">
      <c r="H14" s="4" t="s">
        <v>220</v>
      </c>
      <c r="I14" s="2">
        <v>0.43523316062176165</v>
      </c>
    </row>
    <row r="16" spans="1:13" x14ac:dyDescent="0.3">
      <c r="E16" s="3" t="s">
        <v>225</v>
      </c>
      <c r="F16" t="s">
        <v>219</v>
      </c>
    </row>
    <row r="17" spans="5:6" x14ac:dyDescent="0.3">
      <c r="E17" s="4" t="s">
        <v>12</v>
      </c>
      <c r="F17" s="2">
        <v>0.34426229508196721</v>
      </c>
    </row>
    <row r="18" spans="5:6" x14ac:dyDescent="0.3">
      <c r="E18" s="4" t="s">
        <v>21</v>
      </c>
      <c r="F18" s="2">
        <v>0.65625</v>
      </c>
    </row>
    <row r="19" spans="5:6" x14ac:dyDescent="0.3">
      <c r="E19" s="4" t="s">
        <v>220</v>
      </c>
      <c r="F19" s="2">
        <v>0.43523316062176165</v>
      </c>
    </row>
    <row r="22" spans="5:6" x14ac:dyDescent="0.3">
      <c r="E22" t="s">
        <v>227</v>
      </c>
    </row>
    <row r="23" spans="5:6" x14ac:dyDescent="0.3">
      <c r="E23" s="10">
        <v>193</v>
      </c>
    </row>
    <row r="24" spans="5:6" x14ac:dyDescent="0.3">
      <c r="E24" t="s">
        <v>228</v>
      </c>
    </row>
    <row r="25" spans="5:6" x14ac:dyDescent="0.3">
      <c r="E25" s="11">
        <v>84</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774FF-44C6-422A-A400-02324C8A2411}">
  <dimension ref="A1:S40"/>
  <sheetViews>
    <sheetView showGridLines="0" tabSelected="1" zoomScale="70" zoomScaleNormal="70" workbookViewId="0">
      <selection activeCell="P24" sqref="P24"/>
    </sheetView>
  </sheetViews>
  <sheetFormatPr defaultColWidth="0" defaultRowHeight="14.4" zeroHeight="1" x14ac:dyDescent="0.3"/>
  <cols>
    <col min="1" max="1" width="2.33203125" style="7" customWidth="1"/>
    <col min="2" max="4" width="8.88671875" style="8" customWidth="1"/>
    <col min="5" max="5" width="2.33203125" style="7" customWidth="1"/>
    <col min="6" max="8" width="8.88671875" style="8" customWidth="1"/>
    <col min="9" max="9" width="2.5546875" style="7" customWidth="1"/>
    <col min="10" max="10" width="10" style="8" customWidth="1"/>
    <col min="11" max="11" width="12.21875" style="8" customWidth="1"/>
    <col min="12" max="12" width="13" style="8" customWidth="1"/>
    <col min="13" max="13" width="2.33203125" style="7" customWidth="1"/>
    <col min="14" max="18" width="10.77734375" style="8" customWidth="1"/>
    <col min="19" max="19" width="2.33203125" style="7" customWidth="1"/>
    <col min="20" max="16384" width="8.88671875" style="8" hidden="1"/>
  </cols>
  <sheetData>
    <row r="1" spans="2:18" s="7" customFormat="1" ht="16.5" customHeight="1" x14ac:dyDescent="0.3"/>
    <row r="2" spans="2:18" ht="16.5" customHeight="1" x14ac:dyDescent="0.3">
      <c r="F2" s="30" t="s">
        <v>233</v>
      </c>
      <c r="G2" s="30"/>
      <c r="H2" s="30"/>
      <c r="I2" s="19"/>
      <c r="J2" s="19"/>
      <c r="M2" s="8"/>
    </row>
    <row r="3" spans="2:18" ht="16.5" customHeight="1" x14ac:dyDescent="0.3">
      <c r="F3" s="30"/>
      <c r="G3" s="30"/>
      <c r="H3" s="30"/>
      <c r="I3" s="19"/>
      <c r="J3" s="19"/>
      <c r="M3" s="8"/>
    </row>
    <row r="4" spans="2:18" ht="16.5" customHeight="1" x14ac:dyDescent="0.3">
      <c r="F4" s="31">
        <f ca="1">TODAY()</f>
        <v>46153</v>
      </c>
      <c r="G4" s="31"/>
      <c r="H4" s="31"/>
      <c r="I4" s="31"/>
      <c r="J4" s="31"/>
      <c r="M4" s="23" t="s">
        <v>236</v>
      </c>
    </row>
    <row r="5" spans="2:18" ht="14.4" customHeight="1" x14ac:dyDescent="0.65">
      <c r="G5" s="17"/>
      <c r="H5" s="17"/>
      <c r="I5" s="17"/>
      <c r="J5" s="17"/>
      <c r="K5" s="15"/>
      <c r="L5" s="15"/>
      <c r="M5" s="15"/>
      <c r="N5" s="15"/>
      <c r="O5" s="15"/>
      <c r="P5" s="15"/>
      <c r="Q5" s="15"/>
      <c r="R5" s="15"/>
    </row>
    <row r="6" spans="2:18" ht="14.4" customHeight="1" x14ac:dyDescent="0.65">
      <c r="F6" s="16"/>
      <c r="G6" s="29" t="s">
        <v>234</v>
      </c>
      <c r="H6" s="29"/>
      <c r="I6" s="29"/>
      <c r="J6" s="29"/>
      <c r="M6" s="8"/>
    </row>
    <row r="7" spans="2:18" ht="14.4" customHeight="1" x14ac:dyDescent="0.65">
      <c r="B7" s="12"/>
      <c r="C7" s="26" t="s">
        <v>231</v>
      </c>
      <c r="D7" s="26"/>
      <c r="F7" s="16"/>
      <c r="G7" s="29"/>
      <c r="H7" s="29"/>
      <c r="I7" s="29"/>
      <c r="J7" s="29"/>
      <c r="M7" s="8"/>
    </row>
    <row r="8" spans="2:18" ht="18" x14ac:dyDescent="0.3">
      <c r="B8" s="12"/>
      <c r="C8" s="26"/>
      <c r="D8" s="26"/>
      <c r="F8" s="28" t="s">
        <v>235</v>
      </c>
      <c r="G8" s="28"/>
      <c r="H8" s="28"/>
      <c r="I8" s="28"/>
      <c r="J8" s="28"/>
      <c r="M8" s="8"/>
    </row>
    <row r="9" spans="2:18" ht="18" x14ac:dyDescent="0.35">
      <c r="B9" s="27" t="s">
        <v>232</v>
      </c>
      <c r="C9" s="27"/>
      <c r="D9" s="27"/>
      <c r="I9" s="8"/>
      <c r="M9" s="8"/>
    </row>
    <row r="10" spans="2:18" ht="11.4" customHeight="1" x14ac:dyDescent="0.3">
      <c r="B10" s="9"/>
      <c r="C10" s="18"/>
      <c r="D10" s="18"/>
      <c r="F10" s="9"/>
      <c r="G10" s="9"/>
      <c r="H10" s="9"/>
      <c r="I10" s="9"/>
      <c r="J10" s="9"/>
      <c r="K10" s="9"/>
      <c r="L10" s="9"/>
      <c r="N10" s="9"/>
      <c r="O10" s="9"/>
      <c r="P10" s="9"/>
      <c r="Q10" s="9"/>
      <c r="R10" s="9"/>
    </row>
    <row r="11" spans="2:18" ht="15.6" x14ac:dyDescent="0.3">
      <c r="F11" s="13" t="s">
        <v>227</v>
      </c>
      <c r="I11" s="9"/>
      <c r="J11" s="32" t="s">
        <v>228</v>
      </c>
      <c r="K11" s="32"/>
      <c r="N11" s="13" t="s">
        <v>223</v>
      </c>
    </row>
    <row r="12" spans="2:18" ht="15.6" x14ac:dyDescent="0.3">
      <c r="I12" s="9"/>
      <c r="J12" s="32"/>
      <c r="K12" s="32"/>
      <c r="N12" s="13"/>
    </row>
    <row r="13" spans="2:18" ht="15.6" x14ac:dyDescent="0.3">
      <c r="F13" s="24">
        <f>GETPIVOTDATA("[Measures].[Total Leads]",'Pivot Table'!$E$22)</f>
        <v>193</v>
      </c>
      <c r="G13" s="24"/>
      <c r="H13" s="24"/>
      <c r="I13" s="9"/>
      <c r="J13" s="24">
        <f>GETPIVOTDATA("[Measures].[Total Paid]",'Pivot Table'!$E$24)</f>
        <v>84</v>
      </c>
      <c r="K13" s="24"/>
      <c r="L13" s="24"/>
      <c r="N13" s="13"/>
    </row>
    <row r="14" spans="2:18" ht="15.6" x14ac:dyDescent="0.3">
      <c r="F14" s="24"/>
      <c r="G14" s="24"/>
      <c r="H14" s="24"/>
      <c r="I14" s="9"/>
      <c r="J14" s="24"/>
      <c r="K14" s="24"/>
      <c r="L14" s="24"/>
      <c r="N14" s="13"/>
    </row>
    <row r="15" spans="2:18" ht="15.6" x14ac:dyDescent="0.3">
      <c r="F15" s="24"/>
      <c r="G15" s="24"/>
      <c r="H15" s="24"/>
      <c r="I15" s="9"/>
      <c r="J15" s="24"/>
      <c r="K15" s="24"/>
      <c r="L15" s="24"/>
      <c r="N15" s="13"/>
    </row>
    <row r="16" spans="2:18" x14ac:dyDescent="0.3">
      <c r="F16" s="24"/>
      <c r="G16" s="24"/>
      <c r="H16" s="24"/>
      <c r="J16" s="24"/>
      <c r="K16" s="24"/>
      <c r="L16" s="24"/>
    </row>
    <row r="17" spans="2:18" ht="14.4" customHeight="1" x14ac:dyDescent="0.3">
      <c r="F17" s="24"/>
      <c r="G17" s="24"/>
      <c r="H17" s="24"/>
      <c r="J17" s="24"/>
      <c r="K17" s="24"/>
      <c r="L17" s="24"/>
    </row>
    <row r="18" spans="2:18" ht="14.4" customHeight="1" x14ac:dyDescent="0.3">
      <c r="F18" s="7"/>
      <c r="G18" s="7"/>
      <c r="H18" s="7"/>
      <c r="J18" s="7"/>
      <c r="K18" s="7"/>
      <c r="L18" s="7"/>
    </row>
    <row r="19" spans="2:18" s="7" customFormat="1" ht="12" customHeight="1" x14ac:dyDescent="0.3">
      <c r="F19" s="14" t="s">
        <v>229</v>
      </c>
      <c r="G19" s="20"/>
      <c r="H19" s="20"/>
      <c r="J19" s="14" t="s">
        <v>230</v>
      </c>
      <c r="K19" s="20"/>
      <c r="L19" s="20"/>
      <c r="N19" s="8"/>
      <c r="O19" s="8"/>
      <c r="P19" s="8"/>
      <c r="Q19" s="8"/>
      <c r="R19" s="8"/>
    </row>
    <row r="20" spans="2:18" ht="14.4" customHeight="1" x14ac:dyDescent="0.3">
      <c r="F20" s="25">
        <f>GETPIVOTDATA("[Measures].[CR%]",'Pivot Table'!$E$2)</f>
        <v>0.43523316062176165</v>
      </c>
      <c r="G20" s="25"/>
      <c r="H20" s="25"/>
      <c r="J20" s="20"/>
      <c r="K20" s="20"/>
      <c r="L20" s="20"/>
    </row>
    <row r="21" spans="2:18" x14ac:dyDescent="0.3">
      <c r="F21" s="25"/>
      <c r="G21" s="25"/>
      <c r="H21" s="25"/>
      <c r="J21" s="24">
        <f>F13-J13</f>
        <v>109</v>
      </c>
      <c r="K21" s="24"/>
      <c r="L21" s="24"/>
    </row>
    <row r="22" spans="2:18" ht="31.2" customHeight="1" x14ac:dyDescent="0.3">
      <c r="F22" s="25"/>
      <c r="G22" s="25"/>
      <c r="H22" s="25"/>
      <c r="J22" s="24"/>
      <c r="K22" s="24"/>
      <c r="L22" s="24"/>
    </row>
    <row r="23" spans="2:18" s="7" customFormat="1" ht="12" customHeight="1" x14ac:dyDescent="0.3">
      <c r="B23" s="8"/>
      <c r="C23" s="8"/>
      <c r="D23" s="8"/>
      <c r="F23" s="22"/>
      <c r="G23" s="22"/>
      <c r="H23" s="22"/>
      <c r="J23" s="24"/>
      <c r="K23" s="24"/>
      <c r="L23" s="24"/>
      <c r="N23" s="8"/>
      <c r="O23" s="8"/>
      <c r="P23" s="8"/>
      <c r="Q23" s="8"/>
      <c r="R23" s="8"/>
    </row>
    <row r="24" spans="2:18" ht="14.4" customHeight="1" x14ac:dyDescent="0.3">
      <c r="F24" s="7"/>
      <c r="G24" s="7"/>
      <c r="H24" s="7"/>
      <c r="J24" s="7"/>
      <c r="K24" s="7"/>
      <c r="L24" s="7"/>
      <c r="N24" s="7"/>
      <c r="O24" s="7"/>
      <c r="P24" s="7"/>
      <c r="Q24" s="7"/>
      <c r="R24" s="7"/>
    </row>
    <row r="25" spans="2:18" ht="14.4" customHeight="1" x14ac:dyDescent="0.3">
      <c r="F25" s="13" t="s">
        <v>6</v>
      </c>
      <c r="G25" s="21"/>
      <c r="H25" s="21"/>
      <c r="J25" s="13" t="s">
        <v>221</v>
      </c>
      <c r="K25" s="20"/>
      <c r="L25" s="20"/>
      <c r="N25" s="13" t="s">
        <v>225</v>
      </c>
    </row>
    <row r="26" spans="2:18" ht="3" customHeight="1" x14ac:dyDescent="0.3">
      <c r="F26" s="21"/>
      <c r="G26" s="21"/>
      <c r="H26" s="21"/>
      <c r="J26" s="20"/>
      <c r="K26" s="20"/>
      <c r="L26" s="20"/>
    </row>
    <row r="27" spans="2:18" s="7" customFormat="1" ht="2.4" customHeight="1" x14ac:dyDescent="0.3">
      <c r="F27" s="8"/>
      <c r="G27" s="8"/>
      <c r="H27" s="8"/>
      <c r="J27" s="8"/>
      <c r="K27" s="8"/>
      <c r="L27" s="8"/>
      <c r="N27" s="8"/>
      <c r="O27" s="8"/>
      <c r="P27" s="8"/>
      <c r="Q27" s="8"/>
      <c r="R27" s="8"/>
    </row>
    <row r="28" spans="2:18" x14ac:dyDescent="0.3">
      <c r="B28" s="14" t="s">
        <v>226</v>
      </c>
    </row>
    <row r="29" spans="2:18" ht="16.05" customHeight="1" x14ac:dyDescent="0.3"/>
    <row r="30" spans="2:18" x14ac:dyDescent="0.3"/>
    <row r="31" spans="2:18" x14ac:dyDescent="0.3"/>
    <row r="32" spans="2:18" x14ac:dyDescent="0.3"/>
    <row r="33" x14ac:dyDescent="0.3"/>
    <row r="34" x14ac:dyDescent="0.3"/>
    <row r="35" x14ac:dyDescent="0.3"/>
    <row r="36" ht="19.8" customHeight="1" x14ac:dyDescent="0.3"/>
    <row r="37" x14ac:dyDescent="0.3"/>
    <row r="38" x14ac:dyDescent="0.3"/>
    <row r="39" x14ac:dyDescent="0.3"/>
    <row r="40" s="7" customFormat="1" ht="12" customHeight="1" x14ac:dyDescent="0.3"/>
  </sheetData>
  <mergeCells count="11">
    <mergeCell ref="F2:H3"/>
    <mergeCell ref="F4:J4"/>
    <mergeCell ref="F13:H17"/>
    <mergeCell ref="J13:L17"/>
    <mergeCell ref="J11:K12"/>
    <mergeCell ref="J21:L23"/>
    <mergeCell ref="F20:H22"/>
    <mergeCell ref="C7:D8"/>
    <mergeCell ref="B9:D9"/>
    <mergeCell ref="F8:J8"/>
    <mergeCell ref="G6:J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AA40DB-CA0F-4EE4-B34E-E1BF62CAA2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Emerald clean data 2</vt:lpstr>
      <vt:lpstr>Pivot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AKSUN STEEL ENGINEERING</dc:creator>
  <cp:lastModifiedBy>AKSUN STEEL ENGINEERING</cp:lastModifiedBy>
  <dcterms:created xsi:type="dcterms:W3CDTF">2026-05-01T07:48:46Z</dcterms:created>
  <dcterms:modified xsi:type="dcterms:W3CDTF">2026-05-11T15:42:11Z</dcterms:modified>
</cp:coreProperties>
</file>