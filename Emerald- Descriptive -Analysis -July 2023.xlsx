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I:\My Drive\PROJECTS\Sales Analysis for Emerald Estate Management\"/>
    </mc:Choice>
  </mc:AlternateContent>
  <xr:revisionPtr revIDLastSave="0" documentId="13_ncr:1_{4521928A-67D4-47B4-B09D-9AC8B86CB45A}" xr6:coauthVersionLast="47" xr6:coauthVersionMax="47" xr10:uidLastSave="{00000000-0000-0000-0000-000000000000}"/>
  <bookViews>
    <workbookView xWindow="-108" yWindow="-108" windowWidth="23256" windowHeight="12720" xr2:uid="{25DBA2C1-3560-4AFF-BFD3-2BE9DA0C69CA}"/>
  </bookViews>
  <sheets>
    <sheet name="July_2023_Sales_Dataset" sheetId="2" r:id="rId1"/>
    <sheet name="Summarized Data" sheetId="3" r:id="rId2"/>
    <sheet name="Dashboard" sheetId="4" r:id="rId3"/>
  </sheets>
  <definedNames>
    <definedName name="_xlcn.WorksheetConnection_EmeraldCleanedData.xlsxTable_July_2023_Sales_Dataset1" hidden="1">Table_July_2023_Sales_Dataset[]</definedName>
    <definedName name="ExternalData_1" localSheetId="0" hidden="1">July_2023_Sales_Dataset!$A$1:$H$194</definedName>
    <definedName name="Slicer_Client_Gender">#N/A</definedName>
    <definedName name="Slicer_Inspection">#N/A</definedName>
    <definedName name="Slicer_Product">#N/A</definedName>
    <definedName name="Slicer_Sales">#N/A</definedName>
    <definedName name="Slicer_Sales_Person">#N/A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July_2023_Sales_Dataset" name="Table_July_2023_Sales_Dataset" connection="WorksheetConnection_Emerald Cleaned Data.xlsx!Table_July_2023_Sales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6C4F21-BA91-4BE6-82E3-090C2A50E5F2}" keepAlive="1" name="Query - July_2023_Sales_Dataset" description="Connection to the 'July_2023_Sales_Dataset' query in the workbook." type="5" refreshedVersion="8" background="1" saveData="1">
    <dbPr connection="Provider=Microsoft.Mashup.OleDb.1;Data Source=$Workbook$;Location=July_2023_Sales_Dataset;Extended Properties=&quot;&quot;" command="SELECT * FROM [July_2023_Sales_Dataset]"/>
  </connection>
  <connection id="2" xr16:uid="{1603DF1E-85B0-46FC-BE2D-CE094C5031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09B76C9-FE12-4A7D-AF5E-453195FCD05A}" name="WorksheetConnection_Emerald Cleaned Data.xlsx!Table_July_2023_Sales_Dataset" type="102" refreshedVersion="8" minRefreshableVersion="5">
    <extLst>
      <ext xmlns:x15="http://schemas.microsoft.com/office/spreadsheetml/2010/11/main" uri="{DE250136-89BD-433C-8126-D09CA5730AF9}">
        <x15:connection id="Table_July_2023_Sales_Dataset" autoDelete="1">
          <x15:rangePr sourceName="_xlcn.WorksheetConnection_EmeraldCleanedData.xlsxTable_July_2023_Sales_Dataset1"/>
        </x15:connection>
      </ext>
    </extLst>
  </connection>
</connections>
</file>

<file path=xl/sharedStrings.xml><?xml version="1.0" encoding="utf-8"?>
<sst xmlns="http://schemas.openxmlformats.org/spreadsheetml/2006/main" count="1609" uniqueCount="273">
  <si>
    <t>Client ID</t>
  </si>
  <si>
    <t>Client Gender</t>
  </si>
  <si>
    <t>Sales Person</t>
  </si>
  <si>
    <t>Date Given</t>
  </si>
  <si>
    <t>Sales</t>
  </si>
  <si>
    <t>State</t>
  </si>
  <si>
    <t>Product</t>
  </si>
  <si>
    <t>Inspection</t>
  </si>
  <si>
    <t>J1</t>
  </si>
  <si>
    <t>Female</t>
  </si>
  <si>
    <t>Chukwudi</t>
  </si>
  <si>
    <t>1/7/2023</t>
  </si>
  <si>
    <t>Not Interested</t>
  </si>
  <si>
    <t>Lagos</t>
  </si>
  <si>
    <t>Commercial</t>
  </si>
  <si>
    <t>Yes</t>
  </si>
  <si>
    <t>J2</t>
  </si>
  <si>
    <t>Ngozi</t>
  </si>
  <si>
    <t>2/7/2023</t>
  </si>
  <si>
    <t>Too Expensive</t>
  </si>
  <si>
    <t>Industrial</t>
  </si>
  <si>
    <t>J3</t>
  </si>
  <si>
    <t>3/7/2023</t>
  </si>
  <si>
    <t>Paid</t>
  </si>
  <si>
    <t>PH</t>
  </si>
  <si>
    <t>Residential</t>
  </si>
  <si>
    <t>J4</t>
  </si>
  <si>
    <t>4/7/2023</t>
  </si>
  <si>
    <t>No</t>
  </si>
  <si>
    <t>J5</t>
  </si>
  <si>
    <t>Male</t>
  </si>
  <si>
    <t>Funmi</t>
  </si>
  <si>
    <t>5/7/2023</t>
  </si>
  <si>
    <t>J6</t>
  </si>
  <si>
    <t>Ahmed</t>
  </si>
  <si>
    <t>6/7/2023</t>
  </si>
  <si>
    <t>J7</t>
  </si>
  <si>
    <t>7/7/2023</t>
  </si>
  <si>
    <t>J8</t>
  </si>
  <si>
    <t>8/7/2023</t>
  </si>
  <si>
    <t>Next Time</t>
  </si>
  <si>
    <t>J9</t>
  </si>
  <si>
    <t>9/7/2023</t>
  </si>
  <si>
    <t>J10</t>
  </si>
  <si>
    <t>10/7/2023</t>
  </si>
  <si>
    <t>J11</t>
  </si>
  <si>
    <t>11/7/2023</t>
  </si>
  <si>
    <t>J12</t>
  </si>
  <si>
    <t>Olumide</t>
  </si>
  <si>
    <t>12/7/2023</t>
  </si>
  <si>
    <t>J13</t>
  </si>
  <si>
    <t>13/07/2023</t>
  </si>
  <si>
    <t>J14</t>
  </si>
  <si>
    <t>14/07/2023</t>
  </si>
  <si>
    <t>J15</t>
  </si>
  <si>
    <t>15/07/2023</t>
  </si>
  <si>
    <t>J16</t>
  </si>
  <si>
    <t>16/07/2023</t>
  </si>
  <si>
    <t>J17</t>
  </si>
  <si>
    <t>17/07/2023</t>
  </si>
  <si>
    <t>J18</t>
  </si>
  <si>
    <t>18/07/2023</t>
  </si>
  <si>
    <t>J19</t>
  </si>
  <si>
    <t>19/07/2023</t>
  </si>
  <si>
    <t>J20</t>
  </si>
  <si>
    <t>20/07/2023</t>
  </si>
  <si>
    <t>J21</t>
  </si>
  <si>
    <t>21/07/2023</t>
  </si>
  <si>
    <t>J22</t>
  </si>
  <si>
    <t>22/07/2023</t>
  </si>
  <si>
    <t>J23</t>
  </si>
  <si>
    <t>Chioma</t>
  </si>
  <si>
    <t>23/07/2023</t>
  </si>
  <si>
    <t>J24</t>
  </si>
  <si>
    <t>24/07/2023</t>
  </si>
  <si>
    <t>J25</t>
  </si>
  <si>
    <t>25/07/2023</t>
  </si>
  <si>
    <t>J26</t>
  </si>
  <si>
    <t>26/07/2023</t>
  </si>
  <si>
    <t>J27</t>
  </si>
  <si>
    <t>27/07/2023</t>
  </si>
  <si>
    <t>J28</t>
  </si>
  <si>
    <t>28/07/2023</t>
  </si>
  <si>
    <t>J29</t>
  </si>
  <si>
    <t>29/07/2023</t>
  </si>
  <si>
    <t>J30</t>
  </si>
  <si>
    <t>30/07/2023</t>
  </si>
  <si>
    <t>J31</t>
  </si>
  <si>
    <t>31/07/2023</t>
  </si>
  <si>
    <t>J32</t>
  </si>
  <si>
    <t>J33</t>
  </si>
  <si>
    <t>J34</t>
  </si>
  <si>
    <t>J35</t>
  </si>
  <si>
    <t>J36</t>
  </si>
  <si>
    <t>J37</t>
  </si>
  <si>
    <t>J38</t>
  </si>
  <si>
    <t>J39</t>
  </si>
  <si>
    <t>J40</t>
  </si>
  <si>
    <t>J41</t>
  </si>
  <si>
    <t>J42</t>
  </si>
  <si>
    <t>J43</t>
  </si>
  <si>
    <t>J44</t>
  </si>
  <si>
    <t>J45</t>
  </si>
  <si>
    <t>J46</t>
  </si>
  <si>
    <t>J47</t>
  </si>
  <si>
    <t>J48</t>
  </si>
  <si>
    <t>J49</t>
  </si>
  <si>
    <t>J50</t>
  </si>
  <si>
    <t>J51</t>
  </si>
  <si>
    <t>J52</t>
  </si>
  <si>
    <t>J53</t>
  </si>
  <si>
    <t>J54</t>
  </si>
  <si>
    <t>J55</t>
  </si>
  <si>
    <t>J56</t>
  </si>
  <si>
    <t>J57</t>
  </si>
  <si>
    <t>J58</t>
  </si>
  <si>
    <t>J59</t>
  </si>
  <si>
    <t>J60</t>
  </si>
  <si>
    <t>J61</t>
  </si>
  <si>
    <t>J62</t>
  </si>
  <si>
    <t>J63</t>
  </si>
  <si>
    <t>J64</t>
  </si>
  <si>
    <t>J65</t>
  </si>
  <si>
    <t>J66</t>
  </si>
  <si>
    <t>J67</t>
  </si>
  <si>
    <t>J68</t>
  </si>
  <si>
    <t>J69</t>
  </si>
  <si>
    <t>J70</t>
  </si>
  <si>
    <t>J71</t>
  </si>
  <si>
    <t>J72</t>
  </si>
  <si>
    <t>J73</t>
  </si>
  <si>
    <t>J74</t>
  </si>
  <si>
    <t>J75</t>
  </si>
  <si>
    <t>J76</t>
  </si>
  <si>
    <t>J77</t>
  </si>
  <si>
    <t>J78</t>
  </si>
  <si>
    <t>J79</t>
  </si>
  <si>
    <t>J80</t>
  </si>
  <si>
    <t>J81</t>
  </si>
  <si>
    <t>J82</t>
  </si>
  <si>
    <t>J83</t>
  </si>
  <si>
    <t>J84</t>
  </si>
  <si>
    <t>J85</t>
  </si>
  <si>
    <t>J86</t>
  </si>
  <si>
    <t>J87</t>
  </si>
  <si>
    <t>J88</t>
  </si>
  <si>
    <t>J89</t>
  </si>
  <si>
    <t>J90</t>
  </si>
  <si>
    <t>J91</t>
  </si>
  <si>
    <t>J92</t>
  </si>
  <si>
    <t>J93</t>
  </si>
  <si>
    <t>J94</t>
  </si>
  <si>
    <t>J95</t>
  </si>
  <si>
    <t>J96</t>
  </si>
  <si>
    <t>J97</t>
  </si>
  <si>
    <t>J98</t>
  </si>
  <si>
    <t>J99</t>
  </si>
  <si>
    <t>J100</t>
  </si>
  <si>
    <t>J101</t>
  </si>
  <si>
    <t>J102</t>
  </si>
  <si>
    <t>J103</t>
  </si>
  <si>
    <t>J104</t>
  </si>
  <si>
    <t>J105</t>
  </si>
  <si>
    <t>J106</t>
  </si>
  <si>
    <t>J107</t>
  </si>
  <si>
    <t>J108</t>
  </si>
  <si>
    <t>J109</t>
  </si>
  <si>
    <t>J110</t>
  </si>
  <si>
    <t>J111</t>
  </si>
  <si>
    <t>J112</t>
  </si>
  <si>
    <t>J113</t>
  </si>
  <si>
    <t>J114</t>
  </si>
  <si>
    <t>J115</t>
  </si>
  <si>
    <t>J116</t>
  </si>
  <si>
    <t>J117</t>
  </si>
  <si>
    <t>J118</t>
  </si>
  <si>
    <t>J119</t>
  </si>
  <si>
    <t>J120</t>
  </si>
  <si>
    <t>J121</t>
  </si>
  <si>
    <t>J122</t>
  </si>
  <si>
    <t>J123</t>
  </si>
  <si>
    <t>J124</t>
  </si>
  <si>
    <t>J125</t>
  </si>
  <si>
    <t>J126</t>
  </si>
  <si>
    <t>J127</t>
  </si>
  <si>
    <t>J128</t>
  </si>
  <si>
    <t>J129</t>
  </si>
  <si>
    <t>J130</t>
  </si>
  <si>
    <t>J131</t>
  </si>
  <si>
    <t>J132</t>
  </si>
  <si>
    <t>J133</t>
  </si>
  <si>
    <t>J134</t>
  </si>
  <si>
    <t>J135</t>
  </si>
  <si>
    <t>J136</t>
  </si>
  <si>
    <t>J137</t>
  </si>
  <si>
    <t>J138</t>
  </si>
  <si>
    <t>J139</t>
  </si>
  <si>
    <t>J140</t>
  </si>
  <si>
    <t>J141</t>
  </si>
  <si>
    <t>J142</t>
  </si>
  <si>
    <t>J143</t>
  </si>
  <si>
    <t>J144</t>
  </si>
  <si>
    <t>J145</t>
  </si>
  <si>
    <t>J146</t>
  </si>
  <si>
    <t>J147</t>
  </si>
  <si>
    <t>J148</t>
  </si>
  <si>
    <t>J149</t>
  </si>
  <si>
    <t>J150</t>
  </si>
  <si>
    <t>J151</t>
  </si>
  <si>
    <t>J152</t>
  </si>
  <si>
    <t>J153</t>
  </si>
  <si>
    <t>J154</t>
  </si>
  <si>
    <t>J155</t>
  </si>
  <si>
    <t>J156</t>
  </si>
  <si>
    <t>J157</t>
  </si>
  <si>
    <t>J158</t>
  </si>
  <si>
    <t>J159</t>
  </si>
  <si>
    <t>J160</t>
  </si>
  <si>
    <t>J161</t>
  </si>
  <si>
    <t>J162</t>
  </si>
  <si>
    <t>J163</t>
  </si>
  <si>
    <t>J164</t>
  </si>
  <si>
    <t>J165</t>
  </si>
  <si>
    <t>J166</t>
  </si>
  <si>
    <t>J167</t>
  </si>
  <si>
    <t>J168</t>
  </si>
  <si>
    <t>J169</t>
  </si>
  <si>
    <t>J170</t>
  </si>
  <si>
    <t>J171</t>
  </si>
  <si>
    <t>J172</t>
  </si>
  <si>
    <t>J173</t>
  </si>
  <si>
    <t>J174</t>
  </si>
  <si>
    <t>J175</t>
  </si>
  <si>
    <t>J176</t>
  </si>
  <si>
    <t>J177</t>
  </si>
  <si>
    <t>J178</t>
  </si>
  <si>
    <t>J179</t>
  </si>
  <si>
    <t>J180</t>
  </si>
  <si>
    <t>J181</t>
  </si>
  <si>
    <t>J182</t>
  </si>
  <si>
    <t>J183</t>
  </si>
  <si>
    <t>J184</t>
  </si>
  <si>
    <t>J185</t>
  </si>
  <si>
    <t>J186</t>
  </si>
  <si>
    <t>J187</t>
  </si>
  <si>
    <t>J188</t>
  </si>
  <si>
    <t>J189</t>
  </si>
  <si>
    <t>J190</t>
  </si>
  <si>
    <t>J191</t>
  </si>
  <si>
    <t>J192</t>
  </si>
  <si>
    <t>J193</t>
  </si>
  <si>
    <t>Count of Client ID</t>
  </si>
  <si>
    <t xml:space="preserve">1. Total leads </t>
  </si>
  <si>
    <t>Row Labels</t>
  </si>
  <si>
    <t>Grand Total</t>
  </si>
  <si>
    <t>2. Leads vs Sales Executives</t>
  </si>
  <si>
    <t>3. Leads vs Gender</t>
  </si>
  <si>
    <t>4. Leads vs Sales Status</t>
  </si>
  <si>
    <t>5. Leads vs Branches</t>
  </si>
  <si>
    <t>7. Leads vs Inspection</t>
  </si>
  <si>
    <t>6. Leads vs Property Type</t>
  </si>
  <si>
    <t>Distribution by Sales Executives</t>
  </si>
  <si>
    <t>Distribution by Gender</t>
  </si>
  <si>
    <t>Distribution by Inspection</t>
  </si>
  <si>
    <t>Distribution by branch</t>
  </si>
  <si>
    <t>Distribution by Payment Status</t>
  </si>
  <si>
    <t>Distribution by Property Type</t>
  </si>
  <si>
    <t>Total Leads</t>
  </si>
  <si>
    <t>DASHBOARD</t>
  </si>
  <si>
    <t>Lead Analysis Report, 2023</t>
  </si>
  <si>
    <t>Emerald</t>
  </si>
  <si>
    <t>Property Ltd.</t>
  </si>
  <si>
    <t>Oyindamola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</si>
</sst>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26"/>
      <color theme="1" tint="0.499984740745262"/>
      <name val="Calibri"/>
      <family val="2"/>
      <scheme val="minor"/>
    </font>
    <font>
      <b/>
      <sz val="16"/>
      <color theme="1"/>
      <name val="Calibri"/>
      <family val="2"/>
      <scheme val="minor"/>
    </font>
    <font>
      <b/>
      <sz val="16"/>
      <color theme="7" tint="-0.499984740745262"/>
      <name val="Calibri"/>
      <family val="2"/>
      <scheme val="minor"/>
    </font>
    <font>
      <b/>
      <sz val="12"/>
      <color theme="7" tint="-0.499984740745262"/>
      <name val="Calibri"/>
      <family val="2"/>
      <scheme val="minor"/>
    </font>
    <font>
      <sz val="11"/>
      <color theme="7" tint="-0.499984740745262"/>
      <name val="Calibri"/>
      <family val="2"/>
      <scheme val="minor"/>
    </font>
    <font>
      <b/>
      <sz val="11"/>
      <color theme="7" tint="-0.499984740745262"/>
      <name val="Calibri"/>
      <family val="2"/>
      <scheme val="minor"/>
    </font>
    <font>
      <b/>
      <i/>
      <sz val="12"/>
      <color theme="7" tint="-0.499984740745262"/>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0" fillId="2" borderId="0" xfId="0" applyFill="1"/>
    <xf numFmtId="0" fontId="0" fillId="0" borderId="0" xfId="0" applyNumberFormat="1"/>
    <xf numFmtId="0" fontId="2" fillId="0" borderId="0" xfId="0" applyFont="1"/>
    <xf numFmtId="0" fontId="3" fillId="0" borderId="0" xfId="0" applyFont="1"/>
    <xf numFmtId="0" fontId="4" fillId="2" borderId="0" xfId="0" applyFont="1" applyFill="1"/>
    <xf numFmtId="0" fontId="5" fillId="2" borderId="0" xfId="0" applyFont="1" applyFill="1"/>
    <xf numFmtId="0" fontId="4" fillId="0" borderId="0" xfId="0" applyFont="1"/>
    <xf numFmtId="0" fontId="6" fillId="0" borderId="0" xfId="0" applyFont="1"/>
    <xf numFmtId="0" fontId="1" fillId="0" borderId="0" xfId="0" applyFont="1" applyAlignment="1">
      <alignment horizontal="left" vertical="center"/>
    </xf>
    <xf numFmtId="0" fontId="6" fillId="0" borderId="0" xfId="0" applyFont="1" applyAlignment="1">
      <alignment horizontal="left"/>
    </xf>
    <xf numFmtId="0" fontId="7" fillId="2" borderId="0" xfId="0" applyFont="1" applyFill="1" applyAlignment="1">
      <alignment horizontal="center" vertical="center"/>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0"/>
        </patternFill>
      </fill>
    </dxf>
  </dxfs>
  <tableStyles count="2" defaultTableStyle="TableStyleMedium2" defaultPivotStyle="PivotStyleLight16">
    <tableStyle name="Slicer Style 1" pivot="0" table="0" count="2" xr9:uid="{64E96A71-DDB4-44B9-B6AA-23995ECEC545}">
      <tableStyleElement type="wholeTable" dxfId="8"/>
    </tableStyle>
    <tableStyle name="Slicer Style 2" pivot="0" table="0" count="0" xr9:uid="{C1393F38-AF0D-4E4A-A258-C75C83341A03}"/>
  </tableStyles>
  <extLst>
    <ext xmlns:x14="http://schemas.microsoft.com/office/spreadsheetml/2009/9/main" uri="{46F421CA-312F-682f-3DD2-61675219B42D}">
      <x14:dxfs count="1">
        <dxf>
          <fill>
            <patternFill>
              <bgColor theme="7"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properties descriptive Analyssis.xlsx]Summarized Data!Sales Executives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'Summarized Data'!$E$4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'Summarized Data'!$D$5:$D$11</c:f>
              <c:strCache>
                <c:ptCount val="6"/>
                <c:pt idx="0">
                  <c:v>Ahmed</c:v>
                </c:pt>
                <c:pt idx="1">
                  <c:v>Chioma</c:v>
                </c:pt>
                <c:pt idx="2">
                  <c:v>Chukwudi</c:v>
                </c:pt>
                <c:pt idx="3">
                  <c:v>Funmi</c:v>
                </c:pt>
                <c:pt idx="4">
                  <c:v>Ngozi</c:v>
                </c:pt>
                <c:pt idx="5">
                  <c:v>Olumide</c:v>
                </c:pt>
              </c:strCache>
            </c:strRef>
          </c:cat>
          <c:val>
            <c:numRef>
              <c:f>'Summarized Data'!$E$5:$E$11</c:f>
              <c:numCache>
                <c:formatCode>General</c:formatCode>
                <c:ptCount val="6"/>
                <c:pt idx="0">
                  <c:v>32</c:v>
                </c:pt>
                <c:pt idx="1">
                  <c:v>31</c:v>
                </c:pt>
                <c:pt idx="2">
                  <c:v>35</c:v>
                </c:pt>
                <c:pt idx="3">
                  <c:v>40</c:v>
                </c:pt>
                <c:pt idx="4">
                  <c:v>28</c:v>
                </c:pt>
                <c:pt idx="5">
                  <c:v>27</c:v>
                </c:pt>
              </c:numCache>
            </c:numRef>
          </c:val>
          <c:extLst>
            <c:ext xmlns:c16="http://schemas.microsoft.com/office/drawing/2014/chart" uri="{C3380CC4-5D6E-409C-BE32-E72D297353CC}">
              <c16:uniqueId val="{00000003-ACF2-4B2C-97AE-36AFCE7A4E19}"/>
            </c:ext>
          </c:extLst>
        </c:ser>
        <c:dLbls>
          <c:dLblPos val="outEnd"/>
          <c:showLegendKey val="0"/>
          <c:showVal val="1"/>
          <c:showCatName val="0"/>
          <c:showSerName val="0"/>
          <c:showPercent val="0"/>
          <c:showBubbleSize val="0"/>
        </c:dLbls>
        <c:gapWidth val="219"/>
        <c:overlap val="-27"/>
        <c:axId val="859889631"/>
        <c:axId val="859878591"/>
      </c:barChart>
      <c:catAx>
        <c:axId val="85988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878591"/>
        <c:crosses val="autoZero"/>
        <c:auto val="1"/>
        <c:lblAlgn val="ctr"/>
        <c:lblOffset val="100"/>
        <c:noMultiLvlLbl val="0"/>
      </c:catAx>
      <c:valAx>
        <c:axId val="859878591"/>
        <c:scaling>
          <c:orientation val="minMax"/>
        </c:scaling>
        <c:delete val="1"/>
        <c:axPos val="l"/>
        <c:numFmt formatCode="General" sourceLinked="1"/>
        <c:majorTickMark val="none"/>
        <c:minorTickMark val="none"/>
        <c:tickLblPos val="nextTo"/>
        <c:crossAx val="85988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properties descriptive Analyssis.xlsx]Summarized Data!Gender</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0.183366077275704"/>
              <c:y val="-0.3174603174603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w="19050">
            <a:solidFill>
              <a:schemeClr val="lt1"/>
            </a:solidFill>
          </a:ln>
          <a:effectLst/>
        </c:spPr>
        <c:dLbl>
          <c:idx val="0"/>
          <c:layout>
            <c:manualLayout>
              <c:x val="0"/>
              <c:y val="0.423280423280423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'Summarized Data'!$I$4</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CBBC-4252-938C-72681825DF85}"/>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CBBC-4252-938C-72681825DF85}"/>
              </c:ext>
            </c:extLst>
          </c:dPt>
          <c:dLbls>
            <c:dLbl>
              <c:idx val="0"/>
              <c:layout>
                <c:manualLayout>
                  <c:x val="0.183366077275704"/>
                  <c:y val="-0.3174603174603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BC-4252-938C-72681825DF85}"/>
                </c:ext>
              </c:extLst>
            </c:dLbl>
            <c:dLbl>
              <c:idx val="1"/>
              <c:layout>
                <c:manualLayout>
                  <c:x val="0"/>
                  <c:y val="0.423280423280423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BC-4252-938C-72681825DF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'Summarized Data'!$H$5:$H$7</c:f>
              <c:strCache>
                <c:ptCount val="2"/>
                <c:pt idx="0">
                  <c:v>Female</c:v>
                </c:pt>
                <c:pt idx="1">
                  <c:v>Male</c:v>
                </c:pt>
              </c:strCache>
            </c:strRef>
          </c:cat>
          <c:val>
            <c:numRef>
              <c:f>'Summarized Data'!$I$5:$I$7</c:f>
              <c:numCache>
                <c:formatCode>General</c:formatCode>
                <c:ptCount val="2"/>
                <c:pt idx="0">
                  <c:v>104</c:v>
                </c:pt>
                <c:pt idx="1">
                  <c:v>89</c:v>
                </c:pt>
              </c:numCache>
            </c:numRef>
          </c:val>
          <c:extLst>
            <c:ext xmlns:c16="http://schemas.microsoft.com/office/drawing/2014/chart" uri="{C3380CC4-5D6E-409C-BE32-E72D297353CC}">
              <c16:uniqueId val="{00000008-F15B-4C0E-965D-D3406AC62CE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properties descriptive Analyssis.xlsx]Summarized Data!Sales status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'Summarized Data'!$M$4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'Summarized Data'!$L$5:$L$9</c:f>
              <c:strCache>
                <c:ptCount val="4"/>
                <c:pt idx="0">
                  <c:v>Next Time</c:v>
                </c:pt>
                <c:pt idx="1">
                  <c:v>Not Interested</c:v>
                </c:pt>
                <c:pt idx="2">
                  <c:v>Paid</c:v>
                </c:pt>
                <c:pt idx="3">
                  <c:v>Too Expensive</c:v>
                </c:pt>
              </c:strCache>
            </c:strRef>
          </c:cat>
          <c:val>
            <c:numRef>
              <c:f>'Summarized Data'!$M$5:$M$9</c:f>
              <c:numCache>
                <c:formatCode>General</c:formatCode>
                <c:ptCount val="4"/>
                <c:pt idx="0">
                  <c:v>30</c:v>
                </c:pt>
                <c:pt idx="1">
                  <c:v>29</c:v>
                </c:pt>
                <c:pt idx="2">
                  <c:v>84</c:v>
                </c:pt>
                <c:pt idx="3">
                  <c:v>50</c:v>
                </c:pt>
              </c:numCache>
            </c:numRef>
          </c:val>
          <c:extLst>
            <c:ext xmlns:c16="http://schemas.microsoft.com/office/drawing/2014/chart" uri="{C3380CC4-5D6E-409C-BE32-E72D297353CC}">
              <c16:uniqueId val="{00000000-4ACB-4C1C-907A-B66E48EBACB3}"/>
            </c:ext>
          </c:extLst>
        </c:ser>
        <c:dLbls>
          <c:dLblPos val="outEnd"/>
          <c:showLegendKey val="0"/>
          <c:showVal val="1"/>
          <c:showCatName val="0"/>
          <c:showSerName val="0"/>
          <c:showPercent val="0"/>
          <c:showBubbleSize val="0"/>
        </c:dLbls>
        <c:gapWidth val="182"/>
        <c:axId val="1394361775"/>
        <c:axId val="1394362255"/>
      </c:barChart>
      <c:catAx>
        <c:axId val="139436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362255"/>
        <c:crosses val="autoZero"/>
        <c:auto val="1"/>
        <c:lblAlgn val="ctr"/>
        <c:lblOffset val="100"/>
        <c:noMultiLvlLbl val="0"/>
      </c:catAx>
      <c:valAx>
        <c:axId val="1394362255"/>
        <c:scaling>
          <c:orientation val="minMax"/>
        </c:scaling>
        <c:delete val="1"/>
        <c:axPos val="b"/>
        <c:numFmt formatCode="General" sourceLinked="1"/>
        <c:majorTickMark val="none"/>
        <c:minorTickMark val="none"/>
        <c:tickLblPos val="nextTo"/>
        <c:crossAx val="1394361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properties descriptive Analyssis.xlsx]Summarized Data!Branches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'Summarized Data'!$Q$4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'Summarized Data'!$P$5:$P$7</c:f>
              <c:strCache>
                <c:ptCount val="2"/>
                <c:pt idx="0">
                  <c:v>Lagos</c:v>
                </c:pt>
                <c:pt idx="1">
                  <c:v>PH</c:v>
                </c:pt>
              </c:strCache>
            </c:strRef>
          </c:cat>
          <c:val>
            <c:numRef>
              <c:f>'Summarized Data'!$Q$5:$Q$7</c:f>
              <c:numCache>
                <c:formatCode>General</c:formatCode>
                <c:ptCount val="2"/>
                <c:pt idx="0">
                  <c:v>102</c:v>
                </c:pt>
                <c:pt idx="1">
                  <c:v>91</c:v>
                </c:pt>
              </c:numCache>
            </c:numRef>
          </c:val>
          <c:extLst>
            <c:ext xmlns:c16="http://schemas.microsoft.com/office/drawing/2014/chart" uri="{C3380CC4-5D6E-409C-BE32-E72D297353CC}">
              <c16:uniqueId val="{00000004-8EA3-4518-BE9E-CA63259AFBC1}"/>
            </c:ext>
          </c:extLst>
        </c:ser>
        <c:dLbls>
          <c:dLblPos val="outEnd"/>
          <c:showLegendKey val="0"/>
          <c:showVal val="1"/>
          <c:showCatName val="0"/>
          <c:showSerName val="0"/>
          <c:showPercent val="0"/>
          <c:showBubbleSize val="0"/>
        </c:dLbls>
        <c:gapWidth val="219"/>
        <c:overlap val="-27"/>
        <c:axId val="1394362735"/>
        <c:axId val="1394367055"/>
      </c:barChart>
      <c:catAx>
        <c:axId val="139436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367055"/>
        <c:crosses val="autoZero"/>
        <c:auto val="1"/>
        <c:lblAlgn val="ctr"/>
        <c:lblOffset val="100"/>
        <c:noMultiLvlLbl val="0"/>
      </c:catAx>
      <c:valAx>
        <c:axId val="1394367055"/>
        <c:scaling>
          <c:orientation val="minMax"/>
        </c:scaling>
        <c:delete val="1"/>
        <c:axPos val="l"/>
        <c:numFmt formatCode="General" sourceLinked="1"/>
        <c:majorTickMark val="none"/>
        <c:minorTickMark val="none"/>
        <c:tickLblPos val="nextTo"/>
        <c:crossAx val="1394362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properties descriptive Analyssis.xlsx]Summarized Data!Property Type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'Summarized Data'!$U$4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'Summarized Data'!$T$5:$T$8</c:f>
              <c:strCache>
                <c:ptCount val="3"/>
                <c:pt idx="0">
                  <c:v>Commercial</c:v>
                </c:pt>
                <c:pt idx="1">
                  <c:v>Industrial</c:v>
                </c:pt>
                <c:pt idx="2">
                  <c:v>Residential</c:v>
                </c:pt>
              </c:strCache>
            </c:strRef>
          </c:cat>
          <c:val>
            <c:numRef>
              <c:f>'Summarized Data'!$U$5:$U$8</c:f>
              <c:numCache>
                <c:formatCode>General</c:formatCode>
                <c:ptCount val="3"/>
                <c:pt idx="0">
                  <c:v>61</c:v>
                </c:pt>
                <c:pt idx="1">
                  <c:v>36</c:v>
                </c:pt>
                <c:pt idx="2">
                  <c:v>96</c:v>
                </c:pt>
              </c:numCache>
            </c:numRef>
          </c:val>
          <c:extLst>
            <c:ext xmlns:c16="http://schemas.microsoft.com/office/drawing/2014/chart" uri="{C3380CC4-5D6E-409C-BE32-E72D297353CC}">
              <c16:uniqueId val="{00000004-9F07-4AA6-B3EC-A22974056862}"/>
            </c:ext>
          </c:extLst>
        </c:ser>
        <c:dLbls>
          <c:dLblPos val="outEnd"/>
          <c:showLegendKey val="0"/>
          <c:showVal val="1"/>
          <c:showCatName val="0"/>
          <c:showSerName val="0"/>
          <c:showPercent val="0"/>
          <c:showBubbleSize val="0"/>
        </c:dLbls>
        <c:gapWidth val="182"/>
        <c:axId val="1394359375"/>
        <c:axId val="1394364655"/>
      </c:barChart>
      <c:catAx>
        <c:axId val="139435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364655"/>
        <c:crosses val="autoZero"/>
        <c:auto val="1"/>
        <c:lblAlgn val="ctr"/>
        <c:lblOffset val="100"/>
        <c:noMultiLvlLbl val="0"/>
      </c:catAx>
      <c:valAx>
        <c:axId val="1394364655"/>
        <c:scaling>
          <c:orientation val="minMax"/>
        </c:scaling>
        <c:delete val="1"/>
        <c:axPos val="b"/>
        <c:numFmt formatCode="General" sourceLinked="1"/>
        <c:majorTickMark val="none"/>
        <c:minorTickMark val="none"/>
        <c:tickLblPos val="nextTo"/>
        <c:crossAx val="1394359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[Emerald properties descriptive Analyssis.xlsx]Summarized Data!Inspections</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2.0425478624317088E-2"/>
              <c:y val="-0.22953056113083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w="19050">
            <a:solidFill>
              <a:schemeClr val="lt1"/>
            </a:solidFill>
          </a:ln>
          <a:effectLst/>
        </c:spPr>
        <c:dLbl>
          <c:idx val="0"/>
          <c:layout>
            <c:manualLayout>
              <c:x val="0.15347912524850896"/>
              <c:y val="0.2411597447377901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pieChart>
        <c:varyColors val="1"/>
        <c:ser>
          <c:idx val="0"/>
          <c:order val="0"/>
          <c:tx>
            <c:strRef>
              <c:f>'Summarized Data'!$Y$4</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C151-48EE-99A3-721446AF0F7A}"/>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C151-48EE-99A3-721446AF0F7A}"/>
              </c:ext>
            </c:extLst>
          </c:dPt>
          <c:dLbls>
            <c:dLbl>
              <c:idx val="0"/>
              <c:layout>
                <c:manualLayout>
                  <c:x val="2.0425478624317088E-2"/>
                  <c:y val="-0.2295305611308390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51-48EE-99A3-721446AF0F7A}"/>
                </c:ext>
              </c:extLst>
            </c:dLbl>
            <c:dLbl>
              <c:idx val="1"/>
              <c:layout>
                <c:manualLayout>
                  <c:x val="0.15347912524850896"/>
                  <c:y val="0.24115974473779012"/>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C151-48EE-99A3-721446AF0F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'Summarized Data'!$X$5:$X$7</c:f>
              <c:strCache>
                <c:ptCount val="2"/>
                <c:pt idx="0">
                  <c:v>No</c:v>
                </c:pt>
                <c:pt idx="1">
                  <c:v>Yes</c:v>
                </c:pt>
              </c:strCache>
            </c:strRef>
          </c:cat>
          <c:val>
            <c:numRef>
              <c:f>'Summarized Data'!$Y$5:$Y$7</c:f>
              <c:numCache>
                <c:formatCode>General</c:formatCode>
                <c:ptCount val="2"/>
                <c:pt idx="0">
                  <c:v>82</c:v>
                </c:pt>
                <c:pt idx="1">
                  <c:v>111</c:v>
                </c:pt>
              </c:numCache>
            </c:numRef>
          </c:val>
          <c:extLst>
            <c:ext xmlns:c16="http://schemas.microsoft.com/office/drawing/2014/chart" uri="{C3380CC4-5D6E-409C-BE32-E72D297353CC}">
              <c16:uniqueId val="{00000008-CB65-4502-9B1D-FA245A7D6D8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5</xdr:col>
      <xdr:colOff>19050</xdr:colOff>
      <xdr:row>10</xdr:row>
      <xdr:rowOff>19050</xdr:rowOff>
    </xdr:from>
    <xdr:to>
      <xdr:col>11</xdr:col>
      <xdr:colOff>9525</xdr:colOff>
      <xdr:row>20</xdr:row>
      <xdr:rowOff>19050</xdr:rowOff>
    </xdr:to>
    <xdr:graphicFrame macro="">
      <xdr:nvGraphicFramePr>
        <xdr:cNvPr id="2" name="Chart 1">
          <a:extLst>
            <a:ext uri="{FF2B5EF4-FFF2-40B4-BE49-F238E27FC236}">
              <a16:creationId xmlns:a16="http://schemas.microsoft.com/office/drawing/2014/main" id="{06B1E2B2-6D1A-43D7-ABF1-4FFE7129F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xdr:colOff>
      <xdr:row>10</xdr:row>
      <xdr:rowOff>9525</xdr:rowOff>
    </xdr:from>
    <xdr:to>
      <xdr:col>15</xdr:col>
      <xdr:colOff>60960</xdr:colOff>
      <xdr:row>20</xdr:row>
      <xdr:rowOff>0</xdr:rowOff>
    </xdr:to>
    <xdr:graphicFrame macro="">
      <xdr:nvGraphicFramePr>
        <xdr:cNvPr id="3" name="Chart 2">
          <a:extLst>
            <a:ext uri="{FF2B5EF4-FFF2-40B4-BE49-F238E27FC236}">
              <a16:creationId xmlns:a16="http://schemas.microsoft.com/office/drawing/2014/main" id="{464B9FA2-745E-4BB8-9D9B-657F70112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30479</xdr:colOff>
      <xdr:row>21</xdr:row>
      <xdr:rowOff>175260</xdr:rowOff>
    </xdr:from>
    <xdr:to>
      <xdr:col>11</xdr:col>
      <xdr:colOff>0</xdr:colOff>
      <xdr:row>34</xdr:row>
      <xdr:rowOff>174171</xdr:rowOff>
    </xdr:to>
    <xdr:graphicFrame macro="">
      <xdr:nvGraphicFramePr>
        <xdr:cNvPr id="4" name="Chart 3">
          <a:extLst>
            <a:ext uri="{FF2B5EF4-FFF2-40B4-BE49-F238E27FC236}">
              <a16:creationId xmlns:a16="http://schemas.microsoft.com/office/drawing/2014/main" id="{84465734-847C-462F-8648-5EE93833C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22</xdr:row>
      <xdr:rowOff>76200</xdr:rowOff>
    </xdr:from>
    <xdr:to>
      <xdr:col>15</xdr:col>
      <xdr:colOff>30480</xdr:colOff>
      <xdr:row>34</xdr:row>
      <xdr:rowOff>180974</xdr:rowOff>
    </xdr:to>
    <xdr:graphicFrame macro="">
      <xdr:nvGraphicFramePr>
        <xdr:cNvPr id="5" name="Chart 4">
          <a:extLst>
            <a:ext uri="{FF2B5EF4-FFF2-40B4-BE49-F238E27FC236}">
              <a16:creationId xmlns:a16="http://schemas.microsoft.com/office/drawing/2014/main" id="{BE942EFF-A771-4BBE-928F-C341264E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17145</xdr:colOff>
      <xdr:row>10</xdr:row>
      <xdr:rowOff>45720</xdr:rowOff>
    </xdr:from>
    <xdr:to>
      <xdr:col>19</xdr:col>
      <xdr:colOff>38100</xdr:colOff>
      <xdr:row>20</xdr:row>
      <xdr:rowOff>7620</xdr:rowOff>
    </xdr:to>
    <xdr:graphicFrame macro="">
      <xdr:nvGraphicFramePr>
        <xdr:cNvPr id="6" name="Chart 5">
          <a:extLst>
            <a:ext uri="{FF2B5EF4-FFF2-40B4-BE49-F238E27FC236}">
              <a16:creationId xmlns:a16="http://schemas.microsoft.com/office/drawing/2014/main" id="{8F16AD3E-CC23-44CE-913B-04EADB987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22</xdr:row>
      <xdr:rowOff>7620</xdr:rowOff>
    </xdr:from>
    <xdr:to>
      <xdr:col>19</xdr:col>
      <xdr:colOff>30480</xdr:colOff>
      <xdr:row>34</xdr:row>
      <xdr:rowOff>167640</xdr:rowOff>
    </xdr:to>
    <xdr:graphicFrame macro="">
      <xdr:nvGraphicFramePr>
        <xdr:cNvPr id="7" name="Chart 6">
          <a:extLst>
            <a:ext uri="{FF2B5EF4-FFF2-40B4-BE49-F238E27FC236}">
              <a16:creationId xmlns:a16="http://schemas.microsoft.com/office/drawing/2014/main" id="{D535ABBA-5ADB-414F-B735-773D1EC4C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127000</xdr:colOff>
      <xdr:row>21</xdr:row>
      <xdr:rowOff>21771</xdr:rowOff>
    </xdr:from>
    <xdr:to>
      <xdr:col>4</xdr:col>
      <xdr:colOff>32657</xdr:colOff>
      <xdr:row>35</xdr:row>
      <xdr:rowOff>10885</xdr:rowOff>
    </xdr:to>
    <mc:AlternateContent xmlns:mc="http://schemas.openxmlformats.org/markup-compatibility/2006" xmlns:a14="http://schemas.microsoft.com/office/drawing/2010/main">
      <mc:Choice Requires="a14">
        <xdr:graphicFrame macro="">
          <xdr:nvGraphicFramePr>
            <xdr:cNvPr id="8" name="Sales Person">
              <a:extLst>
                <a:ext uri="{FF2B5EF4-FFF2-40B4-BE49-F238E27FC236}">
                  <a16:creationId xmlns:a16="http://schemas.microsoft.com/office/drawing/2014/main" id="{3F19591A-145A-A8F0-4421-8BFAEE44A2F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27000" y="3875314"/>
              <a:ext cx="1930400" cy="2579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152399</xdr:colOff>
      <xdr:row>9</xdr:row>
      <xdr:rowOff>40280</xdr:rowOff>
    </xdr:from>
    <xdr:to>
      <xdr:col>4</xdr:col>
      <xdr:colOff>65314</xdr:colOff>
      <xdr:row>19</xdr:row>
      <xdr:rowOff>163286</xdr:rowOff>
    </xdr:to>
    <mc:AlternateContent xmlns:mc="http://schemas.openxmlformats.org/markup-compatibility/2006" xmlns:a14="http://schemas.microsoft.com/office/drawing/2010/main">
      <mc:Choice Requires="a14">
        <xdr:graphicFrame macro="">
          <xdr:nvGraphicFramePr>
            <xdr:cNvPr id="9" name="Sales">
              <a:extLst>
                <a:ext uri="{FF2B5EF4-FFF2-40B4-BE49-F238E27FC236}">
                  <a16:creationId xmlns:a16="http://schemas.microsoft.com/office/drawing/2014/main" id="{D749F941-614C-0A68-C0A4-883E97871BED}"/>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52399" y="1971376"/>
              <a:ext cx="1948394" cy="2001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19538</xdr:colOff>
      <xdr:row>3</xdr:row>
      <xdr:rowOff>13026</xdr:rowOff>
    </xdr:from>
    <xdr:to>
      <xdr:col>11</xdr:col>
      <xdr:colOff>65128</xdr:colOff>
      <xdr:row>6</xdr:row>
      <xdr:rowOff>126256</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02171350-F849-9EF3-1A7E-06BAEA11BAF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448538" y="589969"/>
              <a:ext cx="2527533" cy="929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159174</xdr:colOff>
      <xdr:row>3</xdr:row>
      <xdr:rowOff>25400</xdr:rowOff>
    </xdr:from>
    <xdr:to>
      <xdr:col>15</xdr:col>
      <xdr:colOff>33867</xdr:colOff>
      <xdr:row>6</xdr:row>
      <xdr:rowOff>112486</xdr:rowOff>
    </xdr:to>
    <mc:AlternateContent xmlns:mc="http://schemas.openxmlformats.org/markup-compatibility/2006" xmlns:a14="http://schemas.microsoft.com/office/drawing/2010/main">
      <mc:Choice Requires="a14">
        <xdr:graphicFrame macro="">
          <xdr:nvGraphicFramePr>
            <xdr:cNvPr id="11" name="Client Gender">
              <a:extLst>
                <a:ext uri="{FF2B5EF4-FFF2-40B4-BE49-F238E27FC236}">
                  <a16:creationId xmlns:a16="http://schemas.microsoft.com/office/drawing/2014/main" id="{F049B223-DFD5-0A45-EA30-4C5C848658C9}"/>
                </a:ext>
              </a:extLst>
            </xdr:cNvPr>
            <xdr:cNvGraphicFramePr/>
          </xdr:nvGraphicFramePr>
          <xdr:xfrm>
            <a:off x="0" y="0"/>
            <a:ext cx="0" cy="0"/>
          </xdr:xfrm>
          <a:graphic>
            <a:graphicData uri="http://schemas.microsoft.com/office/drawing/2010/slicer">
              <sle:slicer xmlns:sle="http://schemas.microsoft.com/office/drawing/2010/slicer" name="Client Gender"/>
            </a:graphicData>
          </a:graphic>
        </xdr:graphicFrame>
      </mc:Choice>
      <mc:Fallback xmlns="">
        <xdr:sp macro="" textlink="">
          <xdr:nvSpPr>
            <xdr:cNvPr id="0" name=""/>
            <xdr:cNvSpPr>
              <a:spLocks noTextEdit="1"/>
            </xdr:cNvSpPr>
          </xdr:nvSpPr>
          <xdr:spPr>
            <a:xfrm>
              <a:off x="6070117" y="602343"/>
              <a:ext cx="1899436" cy="903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23706</xdr:colOff>
      <xdr:row>2</xdr:row>
      <xdr:rowOff>169333</xdr:rowOff>
    </xdr:from>
    <xdr:to>
      <xdr:col>19</xdr:col>
      <xdr:colOff>8466</xdr:colOff>
      <xdr:row>6</xdr:row>
      <xdr:rowOff>179010</xdr:rowOff>
    </xdr:to>
    <mc:AlternateContent xmlns:mc="http://schemas.openxmlformats.org/markup-compatibility/2006" xmlns:a14="http://schemas.microsoft.com/office/drawing/2010/main">
      <mc:Choice Requires="a14">
        <xdr:graphicFrame macro="">
          <xdr:nvGraphicFramePr>
            <xdr:cNvPr id="12" name="Inspection">
              <a:extLst>
                <a:ext uri="{FF2B5EF4-FFF2-40B4-BE49-F238E27FC236}">
                  <a16:creationId xmlns:a16="http://schemas.microsoft.com/office/drawing/2014/main" id="{8D9C5929-3197-71EC-E8C4-D5DDB4EABB95}"/>
                </a:ext>
              </a:extLst>
            </xdr:cNvPr>
            <xdr:cNvGraphicFramePr/>
          </xdr:nvGraphicFramePr>
          <xdr:xfrm>
            <a:off x="0" y="0"/>
            <a:ext cx="0" cy="0"/>
          </xdr:xfrm>
          <a:graphic>
            <a:graphicData uri="http://schemas.microsoft.com/office/drawing/2010/slicer">
              <sle:slicer xmlns:sle="http://schemas.microsoft.com/office/drawing/2010/slicer" name="Inspection"/>
            </a:graphicData>
          </a:graphic>
        </xdr:graphicFrame>
      </mc:Choice>
      <mc:Fallback xmlns="">
        <xdr:sp macro="" textlink="">
          <xdr:nvSpPr>
            <xdr:cNvPr id="0" name=""/>
            <xdr:cNvSpPr>
              <a:spLocks noTextEdit="1"/>
            </xdr:cNvSpPr>
          </xdr:nvSpPr>
          <xdr:spPr>
            <a:xfrm>
              <a:off x="8122677" y="550333"/>
              <a:ext cx="1846218" cy="10220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xdr:colOff>
      <xdr:row>0</xdr:row>
      <xdr:rowOff>126999</xdr:rowOff>
    </xdr:from>
    <xdr:to>
      <xdr:col>2</xdr:col>
      <xdr:colOff>160867</xdr:colOff>
      <xdr:row>6</xdr:row>
      <xdr:rowOff>132222</xdr:rowOff>
    </xdr:to>
    <xdr:pic>
      <xdr:nvPicPr>
        <xdr:cNvPr id="14" name="Graphic 13" descr="Building with solid fill">
          <a:extLst>
            <a:ext uri="{FF2B5EF4-FFF2-40B4-BE49-F238E27FC236}">
              <a16:creationId xmlns:a16="http://schemas.microsoft.com/office/drawing/2014/main" id="{9B714034-C855-F758-09EC-6CC40125D23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933" y="126999"/>
          <a:ext cx="931334" cy="1401013"/>
        </a:xfrm>
        <a:prstGeom prst="rect">
          <a:avLst/>
        </a:prstGeom>
      </xdr:spPr>
    </xdr:pic>
    <xdr:clientData/>
  </xdr:twoCellAnchor>
  <xdr:twoCellAnchor editAs="oneCell">
    <xdr:from>
      <xdr:col>17</xdr:col>
      <xdr:colOff>412652</xdr:colOff>
      <xdr:row>0</xdr:row>
      <xdr:rowOff>15240</xdr:rowOff>
    </xdr:from>
    <xdr:to>
      <xdr:col>19</xdr:col>
      <xdr:colOff>0</xdr:colOff>
      <xdr:row>2</xdr:row>
      <xdr:rowOff>137160</xdr:rowOff>
    </xdr:to>
    <xdr:pic>
      <xdr:nvPicPr>
        <xdr:cNvPr id="15" name="Picture 14">
          <a:extLst>
            <a:ext uri="{FF2B5EF4-FFF2-40B4-BE49-F238E27FC236}">
              <a16:creationId xmlns:a16="http://schemas.microsoft.com/office/drawing/2014/main" id="{3C5175E5-28C8-B884-F312-E5888438572E}"/>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664" t="13430" r="28539" b="21752"/>
        <a:stretch/>
      </xdr:blipFill>
      <xdr:spPr>
        <a:xfrm>
          <a:off x="9175652" y="15240"/>
          <a:ext cx="837028" cy="5029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37.840644097225" backgroundQuery="1" createdVersion="8" refreshedVersion="8" minRefreshableVersion="3" recordCount="0" supportSubquery="1" supportAdvancedDrill="1" xr:uid="{90255373-6FB2-4919-8B7B-FC62453BB6BD}">
  <cacheSource type="external" connectionId="2"/>
  <cacheFields count="3">
    <cacheField name="[Measures].[Count of Client ID]" caption="Count of Client ID" numFmtId="0" hierarchy="10" level="32767"/>
    <cacheField name="[Table_July_2023_Sales_Dataset].[Sales].[Sales]" caption="Sales" numFmtId="0" hierarchy="4" level="1">
      <sharedItems count="4">
        <s v="Next Time"/>
        <s v="Not Interested"/>
        <s v="Paid"/>
        <s v="Too Expensive"/>
      </sharedItems>
    </cacheField>
    <cacheField name="[Table_July_2023_Sales_Dataset].[Sales Person].[Sales Person]" caption="Sales Person" numFmtId="0" hierarchy="2" level="1">
      <sharedItems containsSemiMixedTypes="0" containsNonDate="0" containsString="0"/>
    </cacheField>
  </cacheFields>
  <cacheHierarchies count="11">
    <cacheHierarchy uniqueName="[Table_July_2023_Sales_Dataset].[Client ID]" caption="Client ID" attribute="1" defaultMemberUniqueName="[Table_July_2023_Sales_Dataset].[Client ID].[All]" allUniqueName="[Table_July_2023_Sales_Dataset].[Client ID].[All]" dimensionUniqueName="[Table_July_2023_Sales_Dataset]" displayFolder="" count="2" memberValueDatatype="130" unbalanced="0"/>
    <cacheHierarchy uniqueName="[Table_July_2023_Sales_Dataset].[Client Gender]" caption="Client Gender" attribute="1" defaultMemberUniqueName="[Table_July_2023_Sales_Dataset].[Client Gender].[All]" allUniqueName="[Table_July_2023_Sales_Dataset].[Client Gender].[All]" dimensionUniqueName="[Table_July_2023_Sales_Dataset]" displayFolder="" count="2" memberValueDatatype="130" unbalanced="0"/>
    <cacheHierarchy uniqueName="[Table_July_2023_Sales_Dataset].[Sales Person]" caption="Sales Person" attribute="1" defaultMemberUniqueName="[Table_July_2023_Sales_Dataset].[Sales Person].[All]" allUniqueName="[Table_July_2023_Sales_Dataset].[Sales Person].[All]" dimensionUniqueName="[Table_July_2023_Sales_Dataset]" displayFolder="" count="2" memberValueDatatype="130" unbalanced="0">
      <fieldsUsage count="2">
        <fieldUsage x="-1"/>
        <fieldUsage x="2"/>
      </fieldsUsage>
    </cacheHierarchy>
    <cacheHierarchy uniqueName="[Table_July_2023_Sales_Dataset].[Date Given]" caption="Date Given" attribute="1" defaultMemberUniqueName="[Table_July_2023_Sales_Dataset].[Date Given].[All]" allUniqueName="[Table_July_2023_Sales_Dataset].[Date Given].[All]" dimensionUniqueName="[Table_July_2023_Sales_Dataset]" displayFolder="" count="2" memberValueDatatype="130" unbalanced="0"/>
    <cacheHierarchy uniqueName="[Table_July_2023_Sales_Dataset].[Sales]" caption="Sales" attribute="1" defaultMemberUniqueName="[Table_July_2023_Sales_Dataset].[Sales].[All]" allUniqueName="[Table_July_2023_Sales_Dataset].[Sales].[All]" dimensionUniqueName="[Table_July_2023_Sales_Dataset]" displayFolder="" count="2" memberValueDatatype="130" unbalanced="0">
      <fieldsUsage count="2">
        <fieldUsage x="-1"/>
        <fieldUsage x="1"/>
      </fieldsUsage>
    </cacheHierarchy>
    <cacheHierarchy uniqueName="[Table_July_2023_Sales_Dataset].[State]" caption="State" attribute="1" defaultMemberUniqueName="[Table_July_2023_Sales_Dataset].[State].[All]" allUniqueName="[Table_July_2023_Sales_Dataset].[State].[All]" dimensionUniqueName="[Table_July_2023_Sales_Dataset]" displayFolder="" count="2" memberValueDatatype="130" unbalanced="0"/>
    <cacheHierarchy uniqueName="[Table_July_2023_Sales_Dataset].[Product]" caption="Product" attribute="1" defaultMemberUniqueName="[Table_July_2023_Sales_Dataset].[Product].[All]" allUniqueName="[Table_July_2023_Sales_Dataset].[Product].[All]" dimensionUniqueName="[Table_July_2023_Sales_Dataset]" displayFolder="" count="2" memberValueDatatype="130" unbalanced="0"/>
    <cacheHierarchy uniqueName="[Table_July_2023_Sales_Dataset].[Inspection]" caption="Inspection" attribute="1" defaultMemberUniqueName="[Table_July_2023_Sales_Dataset].[Inspection].[All]" allUniqueName="[Table_July_2023_Sales_Dataset].[Inspection].[All]" dimensionUniqueName="[Table_July_2023_Sales_Dataset]" displayFolder="" count="2" memberValueDatatype="130" unbalanced="0"/>
    <cacheHierarchy uniqueName="[Measures].[__XL_Count Table_July_2023_Sales_Dataset]" caption="__XL_Count Table_July_2023_Sales_Dataset" measure="1" displayFolder="" measureGroup="Table_July_2023_Sales_Dataset" count="0" hidden="1"/>
    <cacheHierarchy uniqueName="[Measures].[__No measures defined]" caption="__No measures defined" measure="1" displayFolder="" count="0" hidden="1"/>
    <cacheHierarchy uniqueName="[Measures].[Count of Client ID]" caption="Count of Client ID" measure="1" displayFolder="" measureGroup="Table_July_2023_Sales_Dataset"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July_2023_Sales_Dataset" uniqueName="[Table_July_2023_Sales_Dataset]" caption="Table_July_2023_Sales_Dataset"/>
  </dimensions>
  <measureGroups count="1">
    <measureGroup name="Table_July_2023_Sales_Dataset" caption="Table_July_2023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49.743818750001" backgroundQuery="1" createdVersion="8" refreshedVersion="8" minRefreshableVersion="3" recordCount="0" supportSubquery="1" supportAdvancedDrill="1" xr:uid="{0F9AB6BF-6D3C-4E0F-8ABD-4D810C7757A8}">
  <cacheSource type="external" connectionId="2"/>
  <cacheFields count="3">
    <cacheField name="[Measures].[Count of Client ID]" caption="Count of Client ID" numFmtId="0" hierarchy="10" level="32767"/>
    <cacheField name="[Table_July_2023_Sales_Dataset].[State].[State]" caption="State" numFmtId="0" hierarchy="5" level="1">
      <sharedItems count="2">
        <s v="Lagos"/>
        <s v="PH"/>
      </sharedItems>
    </cacheField>
    <cacheField name="[Table_July_2023_Sales_Dataset].[Sales].[Sales]" caption="Sales" numFmtId="0" hierarchy="4" level="1">
      <sharedItems containsSemiMixedTypes="0" containsNonDate="0" containsString="0"/>
    </cacheField>
  </cacheFields>
  <cacheHierarchies count="11">
    <cacheHierarchy uniqueName="[Table_July_2023_Sales_Dataset].[Client ID]" caption="Client ID" attribute="1" defaultMemberUniqueName="[Table_July_2023_Sales_Dataset].[Client ID].[All]" allUniqueName="[Table_July_2023_Sales_Dataset].[Client ID].[All]" dimensionUniqueName="[Table_July_2023_Sales_Dataset]" displayFolder="" count="0" memberValueDatatype="130" unbalanced="0"/>
    <cacheHierarchy uniqueName="[Table_July_2023_Sales_Dataset].[Client Gender]" caption="Client Gender" attribute="1" defaultMemberUniqueName="[Table_July_2023_Sales_Dataset].[Client Gender].[All]" allUniqueName="[Table_July_2023_Sales_Dataset].[Client Gender].[All]" dimensionUniqueName="[Table_July_2023_Sales_Dataset]" displayFolder="" count="2" memberValueDatatype="130" unbalanced="0"/>
    <cacheHierarchy uniqueName="[Table_July_2023_Sales_Dataset].[Sales Person]" caption="Sales Person" attribute="1" defaultMemberUniqueName="[Table_July_2023_Sales_Dataset].[Sales Person].[All]" allUniqueName="[Table_July_2023_Sales_Dataset].[Sales Person].[All]" dimensionUniqueName="[Table_July_2023_Sales_Dataset]" displayFolder="" count="2" memberValueDatatype="130" unbalanced="0"/>
    <cacheHierarchy uniqueName="[Table_July_2023_Sales_Dataset].[Date Given]" caption="Date Given" attribute="1" defaultMemberUniqueName="[Table_July_2023_Sales_Dataset].[Date Given].[All]" allUniqueName="[Table_July_2023_Sales_Dataset].[Date Given].[All]" dimensionUniqueName="[Table_July_2023_Sales_Dataset]" displayFolder="" count="0" memberValueDatatype="130" unbalanced="0"/>
    <cacheHierarchy uniqueName="[Table_July_2023_Sales_Dataset].[Sales]" caption="Sales" attribute="1" defaultMemberUniqueName="[Table_July_2023_Sales_Dataset].[Sales].[All]" allUniqueName="[Table_July_2023_Sales_Dataset].[Sales].[All]" dimensionUniqueName="[Table_July_2023_Sales_Dataset]" displayFolder="" count="2" memberValueDatatype="130" unbalanced="0">
      <fieldsUsage count="2">
        <fieldUsage x="-1"/>
        <fieldUsage x="2"/>
      </fieldsUsage>
    </cacheHierarchy>
    <cacheHierarchy uniqueName="[Table_July_2023_Sales_Dataset].[State]" caption="State" attribute="1" defaultMemberUniqueName="[Table_July_2023_Sales_Dataset].[State].[All]" allUniqueName="[Table_July_2023_Sales_Dataset].[State].[All]" dimensionUniqueName="[Table_July_2023_Sales_Dataset]" displayFolder="" count="2" memberValueDatatype="130" unbalanced="0">
      <fieldsUsage count="2">
        <fieldUsage x="-1"/>
        <fieldUsage x="1"/>
      </fieldsUsage>
    </cacheHierarchy>
    <cacheHierarchy uniqueName="[Table_July_2023_Sales_Dataset].[Product]" caption="Product" attribute="1" defaultMemberUniqueName="[Table_July_2023_Sales_Dataset].[Product].[All]" allUniqueName="[Table_July_2023_Sales_Dataset].[Product].[All]" dimensionUniqueName="[Table_July_2023_Sales_Dataset]" displayFolder="" count="2" memberValueDatatype="130" unbalanced="0"/>
    <cacheHierarchy uniqueName="[Table_July_2023_Sales_Dataset].[Inspection]" caption="Inspection" attribute="1" defaultMemberUniqueName="[Table_July_2023_Sales_Dataset].[Inspection].[All]" allUniqueName="[Table_July_2023_Sales_Dataset].[Inspection].[All]" dimensionUniqueName="[Table_July_2023_Sales_Dataset]" displayFolder="" count="2" memberValueDatatype="130" unbalanced="0"/>
    <cacheHierarchy uniqueName="[Measures].[__XL_Count Table_July_2023_Sales_Dataset]" caption="__XL_Count Table_July_2023_Sales_Dataset" measure="1" displayFolder="" measureGroup="Table_July_2023_Sales_Dataset" count="0" hidden="1"/>
    <cacheHierarchy uniqueName="[Measures].[__No measures defined]" caption="__No measures defined" measure="1" displayFolder="" count="0" hidden="1"/>
    <cacheHierarchy uniqueName="[Measures].[Count of Client ID]" caption="Count of Client ID" measure="1" displayFolder="" measureGroup="Table_July_2023_Sales_Dataset"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July_2023_Sales_Dataset" uniqueName="[Table_July_2023_Sales_Dataset]" caption="Table_July_2023_Sales_Dataset"/>
  </dimensions>
  <measureGroups count="1">
    <measureGroup name="Table_July_2023_Sales_Dataset" caption="Table_July_2023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49.743822222219" backgroundQuery="1" createdVersion="8" refreshedVersion="8" minRefreshableVersion="3" recordCount="0" supportSubquery="1" supportAdvancedDrill="1" xr:uid="{98F708B8-82CD-4E9E-B7D0-FC9E296DA1D7}">
  <cacheSource type="external" connectionId="2"/>
  <cacheFields count="3">
    <cacheField name="[Measures].[Count of Client ID]" caption="Count of Client ID" numFmtId="0" hierarchy="10" level="32767"/>
    <cacheField name="[Table_July_2023_Sales_Dataset].[Client Gender].[Client Gender]" caption="Client Gender" numFmtId="0" hierarchy="1" level="1">
      <sharedItems count="2">
        <s v="Female"/>
        <s v="Male"/>
      </sharedItems>
    </cacheField>
    <cacheField name="[Table_July_2023_Sales_Dataset].[Sales].[Sales]" caption="Sales" numFmtId="0" hierarchy="4" level="1">
      <sharedItems containsSemiMixedTypes="0" containsNonDate="0" containsString="0"/>
    </cacheField>
  </cacheFields>
  <cacheHierarchies count="11">
    <cacheHierarchy uniqueName="[Table_July_2023_Sales_Dataset].[Client ID]" caption="Client ID" attribute="1" defaultMemberUniqueName="[Table_July_2023_Sales_Dataset].[Client ID].[All]" allUniqueName="[Table_July_2023_Sales_Dataset].[Client ID].[All]" dimensionUniqueName="[Table_July_2023_Sales_Dataset]" displayFolder="" count="2" memberValueDatatype="130" unbalanced="0"/>
    <cacheHierarchy uniqueName="[Table_July_2023_Sales_Dataset].[Client Gender]" caption="Client Gender" attribute="1" defaultMemberUniqueName="[Table_July_2023_Sales_Dataset].[Client Gender].[All]" allUniqueName="[Table_July_2023_Sales_Dataset].[Client Gender].[All]" dimensionUniqueName="[Table_July_2023_Sales_Dataset]" displayFolder="" count="2" memberValueDatatype="130" unbalanced="0">
      <fieldsUsage count="2">
        <fieldUsage x="-1"/>
        <fieldUsage x="1"/>
      </fieldsUsage>
    </cacheHierarchy>
    <cacheHierarchy uniqueName="[Table_July_2023_Sales_Dataset].[Sales Person]" caption="Sales Person" attribute="1" defaultMemberUniqueName="[Table_July_2023_Sales_Dataset].[Sales Person].[All]" allUniqueName="[Table_July_2023_Sales_Dataset].[Sales Person].[All]" dimensionUniqueName="[Table_July_2023_Sales_Dataset]" displayFolder="" count="2" memberValueDatatype="130" unbalanced="0"/>
    <cacheHierarchy uniqueName="[Table_July_2023_Sales_Dataset].[Date Given]" caption="Date Given" attribute="1" defaultMemberUniqueName="[Table_July_2023_Sales_Dataset].[Date Given].[All]" allUniqueName="[Table_July_2023_Sales_Dataset].[Date Given].[All]" dimensionUniqueName="[Table_July_2023_Sales_Dataset]" displayFolder="" count="2" memberValueDatatype="130" unbalanced="0"/>
    <cacheHierarchy uniqueName="[Table_July_2023_Sales_Dataset].[Sales]" caption="Sales" attribute="1" defaultMemberUniqueName="[Table_July_2023_Sales_Dataset].[Sales].[All]" allUniqueName="[Table_July_2023_Sales_Dataset].[Sales].[All]" dimensionUniqueName="[Table_July_2023_Sales_Dataset]" displayFolder="" count="2" memberValueDatatype="130" unbalanced="0">
      <fieldsUsage count="2">
        <fieldUsage x="-1"/>
        <fieldUsage x="2"/>
      </fieldsUsage>
    </cacheHierarchy>
    <cacheHierarchy uniqueName="[Table_July_2023_Sales_Dataset].[State]" caption="State" attribute="1" defaultMemberUniqueName="[Table_July_2023_Sales_Dataset].[State].[All]" allUniqueName="[Table_July_2023_Sales_Dataset].[State].[All]" dimensionUniqueName="[Table_July_2023_Sales_Dataset]" displayFolder="" count="2" memberValueDatatype="130" unbalanced="0"/>
    <cacheHierarchy uniqueName="[Table_July_2023_Sales_Dataset].[Product]" caption="Product" attribute="1" defaultMemberUniqueName="[Table_July_2023_Sales_Dataset].[Product].[All]" allUniqueName="[Table_July_2023_Sales_Dataset].[Product].[All]" dimensionUniqueName="[Table_July_2023_Sales_Dataset]" displayFolder="" count="2" memberValueDatatype="130" unbalanced="0"/>
    <cacheHierarchy uniqueName="[Table_July_2023_Sales_Dataset].[Inspection]" caption="Inspection" attribute="1" defaultMemberUniqueName="[Table_July_2023_Sales_Dataset].[Inspection].[All]" allUniqueName="[Table_July_2023_Sales_Dataset].[Inspection].[All]" dimensionUniqueName="[Table_July_2023_Sales_Dataset]" displayFolder="" count="2" memberValueDatatype="130" unbalanced="0"/>
    <cacheHierarchy uniqueName="[Measures].[__XL_Count Table_July_2023_Sales_Dataset]" caption="__XL_Count Table_July_2023_Sales_Dataset" measure="1" displayFolder="" measureGroup="Table_July_2023_Sales_Dataset" count="0" hidden="1"/>
    <cacheHierarchy uniqueName="[Measures].[__No measures defined]" caption="__No measures defined" measure="1" displayFolder="" count="0" hidden="1"/>
    <cacheHierarchy uniqueName="[Measures].[Count of Client ID]" caption="Count of Client ID" measure="1" displayFolder="" measureGroup="Table_July_2023_Sales_Dataset"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July_2023_Sales_Dataset" uniqueName="[Table_July_2023_Sales_Dataset]" caption="Table_July_2023_Sales_Dataset"/>
  </dimensions>
  <measureGroups count="1">
    <measureGroup name="Table_July_2023_Sales_Dataset" caption="Table_July_2023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49.743828125" backgroundQuery="1" createdVersion="8" refreshedVersion="8" minRefreshableVersion="3" recordCount="0" supportSubquery="1" supportAdvancedDrill="1" xr:uid="{F5FB8CC5-78AF-4F21-A31E-F1B564E6AE46}">
  <cacheSource type="external" connectionId="2"/>
  <cacheFields count="3">
    <cacheField name="[Measures].[Count of Client ID]" caption="Count of Client ID" numFmtId="0" hierarchy="10" level="32767"/>
    <cacheField name="[Table_July_2023_Sales_Dataset].[Inspection].[Inspection]" caption="Inspection" numFmtId="0" hierarchy="7" level="1">
      <sharedItems count="2">
        <s v="No"/>
        <s v="Yes"/>
      </sharedItems>
    </cacheField>
    <cacheField name="[Table_July_2023_Sales_Dataset].[Sales].[Sales]" caption="Sales" numFmtId="0" hierarchy="4" level="1">
      <sharedItems containsSemiMixedTypes="0" containsNonDate="0" containsString="0"/>
    </cacheField>
  </cacheFields>
  <cacheHierarchies count="11">
    <cacheHierarchy uniqueName="[Table_July_2023_Sales_Dataset].[Client ID]" caption="Client ID" attribute="1" defaultMemberUniqueName="[Table_July_2023_Sales_Dataset].[Client ID].[All]" allUniqueName="[Table_July_2023_Sales_Dataset].[Client ID].[All]" dimensionUniqueName="[Table_July_2023_Sales_Dataset]" displayFolder="" count="2" memberValueDatatype="130" unbalanced="0"/>
    <cacheHierarchy uniqueName="[Table_July_2023_Sales_Dataset].[Client Gender]" caption="Client Gender" attribute="1" defaultMemberUniqueName="[Table_July_2023_Sales_Dataset].[Client Gender].[All]" allUniqueName="[Table_July_2023_Sales_Dataset].[Client Gender].[All]" dimensionUniqueName="[Table_July_2023_Sales_Dataset]" displayFolder="" count="2" memberValueDatatype="130" unbalanced="0"/>
    <cacheHierarchy uniqueName="[Table_July_2023_Sales_Dataset].[Sales Person]" caption="Sales Person" attribute="1" defaultMemberUniqueName="[Table_July_2023_Sales_Dataset].[Sales Person].[All]" allUniqueName="[Table_July_2023_Sales_Dataset].[Sales Person].[All]" dimensionUniqueName="[Table_July_2023_Sales_Dataset]" displayFolder="" count="2" memberValueDatatype="130" unbalanced="0"/>
    <cacheHierarchy uniqueName="[Table_July_2023_Sales_Dataset].[Date Given]" caption="Date Given" attribute="1" defaultMemberUniqueName="[Table_July_2023_Sales_Dataset].[Date Given].[All]" allUniqueName="[Table_July_2023_Sales_Dataset].[Date Given].[All]" dimensionUniqueName="[Table_July_2023_Sales_Dataset]" displayFolder="" count="2" memberValueDatatype="130" unbalanced="0"/>
    <cacheHierarchy uniqueName="[Table_July_2023_Sales_Dataset].[Sales]" caption="Sales" attribute="1" defaultMemberUniqueName="[Table_July_2023_Sales_Dataset].[Sales].[All]" allUniqueName="[Table_July_2023_Sales_Dataset].[Sales].[All]" dimensionUniqueName="[Table_July_2023_Sales_Dataset]" displayFolder="" count="2" memberValueDatatype="130" unbalanced="0">
      <fieldsUsage count="2">
        <fieldUsage x="-1"/>
        <fieldUsage x="2"/>
      </fieldsUsage>
    </cacheHierarchy>
    <cacheHierarchy uniqueName="[Table_July_2023_Sales_Dataset].[State]" caption="State" attribute="1" defaultMemberUniqueName="[Table_July_2023_Sales_Dataset].[State].[All]" allUniqueName="[Table_July_2023_Sales_Dataset].[State].[All]" dimensionUniqueName="[Table_July_2023_Sales_Dataset]" displayFolder="" count="2" memberValueDatatype="130" unbalanced="0"/>
    <cacheHierarchy uniqueName="[Table_July_2023_Sales_Dataset].[Product]" caption="Product" attribute="1" defaultMemberUniqueName="[Table_July_2023_Sales_Dataset].[Product].[All]" allUniqueName="[Table_July_2023_Sales_Dataset].[Product].[All]" dimensionUniqueName="[Table_July_2023_Sales_Dataset]" displayFolder="" count="2" memberValueDatatype="130" unbalanced="0"/>
    <cacheHierarchy uniqueName="[Table_July_2023_Sales_Dataset].[Inspection]" caption="Inspection" attribute="1" defaultMemberUniqueName="[Table_July_2023_Sales_Dataset].[Inspection].[All]" allUniqueName="[Table_July_2023_Sales_Dataset].[Inspection].[All]" dimensionUniqueName="[Table_July_2023_Sales_Dataset]" displayFolder="" count="2" memberValueDatatype="130" unbalanced="0">
      <fieldsUsage count="2">
        <fieldUsage x="-1"/>
        <fieldUsage x="1"/>
      </fieldsUsage>
    </cacheHierarchy>
    <cacheHierarchy uniqueName="[Measures].[__XL_Count Table_July_2023_Sales_Dataset]" caption="__XL_Count Table_July_2023_Sales_Dataset" measure="1" displayFolder="" measureGroup="Table_July_2023_Sales_Dataset" count="0" hidden="1"/>
    <cacheHierarchy uniqueName="[Measures].[__No measures defined]" caption="__No measures defined" measure="1" displayFolder="" count="0" hidden="1"/>
    <cacheHierarchy uniqueName="[Measures].[Count of Client ID]" caption="Count of Client ID" measure="1" displayFolder="" measureGroup="Table_July_2023_Sales_Dataset"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July_2023_Sales_Dataset" uniqueName="[Table_July_2023_Sales_Dataset]" caption="Table_July_2023_Sales_Dataset"/>
  </dimensions>
  <measureGroups count="1">
    <measureGroup name="Table_July_2023_Sales_Dataset" caption="Table_July_2023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49.743829513885" backgroundQuery="1" createdVersion="8" refreshedVersion="8" minRefreshableVersion="3" recordCount="0" supportSubquery="1" supportAdvancedDrill="1" xr:uid="{1E06B8E8-2913-4DC6-9078-37FE4654FDE2}">
  <cacheSource type="external" connectionId="2"/>
  <cacheFields count="3">
    <cacheField name="[Measures].[Count of Client ID]" caption="Count of Client ID" numFmtId="0" hierarchy="10" level="32767"/>
    <cacheField name="[Table_July_2023_Sales_Dataset].[Product].[Product]" caption="Product" numFmtId="0" hierarchy="6" level="1">
      <sharedItems count="3">
        <s v="Commercial"/>
        <s v="Industrial"/>
        <s v="Residential"/>
      </sharedItems>
    </cacheField>
    <cacheField name="[Table_July_2023_Sales_Dataset].[Sales].[Sales]" caption="Sales" numFmtId="0" hierarchy="4" level="1">
      <sharedItems containsSemiMixedTypes="0" containsNonDate="0" containsString="0"/>
    </cacheField>
  </cacheFields>
  <cacheHierarchies count="11">
    <cacheHierarchy uniqueName="[Table_July_2023_Sales_Dataset].[Client ID]" caption="Client ID" attribute="1" defaultMemberUniqueName="[Table_July_2023_Sales_Dataset].[Client ID].[All]" allUniqueName="[Table_July_2023_Sales_Dataset].[Client ID].[All]" dimensionUniqueName="[Table_July_2023_Sales_Dataset]" displayFolder="" count="0" memberValueDatatype="130" unbalanced="0"/>
    <cacheHierarchy uniqueName="[Table_July_2023_Sales_Dataset].[Client Gender]" caption="Client Gender" attribute="1" defaultMemberUniqueName="[Table_July_2023_Sales_Dataset].[Client Gender].[All]" allUniqueName="[Table_July_2023_Sales_Dataset].[Client Gender].[All]" dimensionUniqueName="[Table_July_2023_Sales_Dataset]" displayFolder="" count="2" memberValueDatatype="130" unbalanced="0"/>
    <cacheHierarchy uniqueName="[Table_July_2023_Sales_Dataset].[Sales Person]" caption="Sales Person" attribute="1" defaultMemberUniqueName="[Table_July_2023_Sales_Dataset].[Sales Person].[All]" allUniqueName="[Table_July_2023_Sales_Dataset].[Sales Person].[All]" dimensionUniqueName="[Table_July_2023_Sales_Dataset]" displayFolder="" count="2" memberValueDatatype="130" unbalanced="0"/>
    <cacheHierarchy uniqueName="[Table_July_2023_Sales_Dataset].[Date Given]" caption="Date Given" attribute="1" defaultMemberUniqueName="[Table_July_2023_Sales_Dataset].[Date Given].[All]" allUniqueName="[Table_July_2023_Sales_Dataset].[Date Given].[All]" dimensionUniqueName="[Table_July_2023_Sales_Dataset]" displayFolder="" count="0" memberValueDatatype="130" unbalanced="0"/>
    <cacheHierarchy uniqueName="[Table_July_2023_Sales_Dataset].[Sales]" caption="Sales" attribute="1" defaultMemberUniqueName="[Table_July_2023_Sales_Dataset].[Sales].[All]" allUniqueName="[Table_July_2023_Sales_Dataset].[Sales].[All]" dimensionUniqueName="[Table_July_2023_Sales_Dataset]" displayFolder="" count="2" memberValueDatatype="130" unbalanced="0">
      <fieldsUsage count="2">
        <fieldUsage x="-1"/>
        <fieldUsage x="2"/>
      </fieldsUsage>
    </cacheHierarchy>
    <cacheHierarchy uniqueName="[Table_July_2023_Sales_Dataset].[State]" caption="State" attribute="1" defaultMemberUniqueName="[Table_July_2023_Sales_Dataset].[State].[All]" allUniqueName="[Table_July_2023_Sales_Dataset].[State].[All]" dimensionUniqueName="[Table_July_2023_Sales_Dataset]" displayFolder="" count="0" memberValueDatatype="130" unbalanced="0"/>
    <cacheHierarchy uniqueName="[Table_July_2023_Sales_Dataset].[Product]" caption="Product" attribute="1" defaultMemberUniqueName="[Table_July_2023_Sales_Dataset].[Product].[All]" allUniqueName="[Table_July_2023_Sales_Dataset].[Product].[All]" dimensionUniqueName="[Table_July_2023_Sales_Dataset]" displayFolder="" count="2" memberValueDatatype="130" unbalanced="0">
      <fieldsUsage count="2">
        <fieldUsage x="-1"/>
        <fieldUsage x="1"/>
      </fieldsUsage>
    </cacheHierarchy>
    <cacheHierarchy uniqueName="[Table_July_2023_Sales_Dataset].[Inspection]" caption="Inspection" attribute="1" defaultMemberUniqueName="[Table_July_2023_Sales_Dataset].[Inspection].[All]" allUniqueName="[Table_July_2023_Sales_Dataset].[Inspection].[All]" dimensionUniqueName="[Table_July_2023_Sales_Dataset]" displayFolder="" count="2" memberValueDatatype="130" unbalanced="0"/>
    <cacheHierarchy uniqueName="[Measures].[__XL_Count Table_July_2023_Sales_Dataset]" caption="__XL_Count Table_July_2023_Sales_Dataset" measure="1" displayFolder="" measureGroup="Table_July_2023_Sales_Dataset" count="0" hidden="1"/>
    <cacheHierarchy uniqueName="[Measures].[__No measures defined]" caption="__No measures defined" measure="1" displayFolder="" count="0" hidden="1"/>
    <cacheHierarchy uniqueName="[Measures].[Count of Client ID]" caption="Count of Client ID" measure="1" displayFolder="" measureGroup="Table_July_2023_Sales_Dataset"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July_2023_Sales_Dataset" uniqueName="[Table_July_2023_Sales_Dataset]" caption="Table_July_2023_Sales_Dataset"/>
  </dimensions>
  <measureGroups count="1">
    <measureGroup name="Table_July_2023_Sales_Dataset" caption="Table_July_2023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49.743833912034" backgroundQuery="1" createdVersion="8" refreshedVersion="8" minRefreshableVersion="3" recordCount="0" supportSubquery="1" supportAdvancedDrill="1" xr:uid="{583A6996-8C52-47BC-AE5F-316EF53AC8B4}">
  <cacheSource type="external" connectionId="2"/>
  <cacheFields count="3">
    <cacheField name="[Measures].[Count of Client ID]" caption="Count of Client ID" numFmtId="0" hierarchy="10" level="32767"/>
    <cacheField name="[Table_July_2023_Sales_Dataset].[Sales Person].[Sales Person]" caption="Sales Person" numFmtId="0" hierarchy="2" level="1">
      <sharedItems count="6">
        <s v="Ahmed"/>
        <s v="Chioma"/>
        <s v="Chukwudi"/>
        <s v="Funmi"/>
        <s v="Ngozi"/>
        <s v="Olumide"/>
      </sharedItems>
    </cacheField>
    <cacheField name="[Table_July_2023_Sales_Dataset].[Sales].[Sales]" caption="Sales" numFmtId="0" hierarchy="4" level="1">
      <sharedItems containsSemiMixedTypes="0" containsNonDate="0" containsString="0"/>
    </cacheField>
  </cacheFields>
  <cacheHierarchies count="11">
    <cacheHierarchy uniqueName="[Table_July_2023_Sales_Dataset].[Client ID]" caption="Client ID" attribute="1" defaultMemberUniqueName="[Table_July_2023_Sales_Dataset].[Client ID].[All]" allUniqueName="[Table_July_2023_Sales_Dataset].[Client ID].[All]" dimensionUniqueName="[Table_July_2023_Sales_Dataset]" displayFolder="" count="2" memberValueDatatype="130" unbalanced="0"/>
    <cacheHierarchy uniqueName="[Table_July_2023_Sales_Dataset].[Client Gender]" caption="Client Gender" attribute="1" defaultMemberUniqueName="[Table_July_2023_Sales_Dataset].[Client Gender].[All]" allUniqueName="[Table_July_2023_Sales_Dataset].[Client Gender].[All]" dimensionUniqueName="[Table_July_2023_Sales_Dataset]" displayFolder="" count="2" memberValueDatatype="130" unbalanced="0"/>
    <cacheHierarchy uniqueName="[Table_July_2023_Sales_Dataset].[Sales Person]" caption="Sales Person" attribute="1" defaultMemberUniqueName="[Table_July_2023_Sales_Dataset].[Sales Person].[All]" allUniqueName="[Table_July_2023_Sales_Dataset].[Sales Person].[All]" dimensionUniqueName="[Table_July_2023_Sales_Dataset]" displayFolder="" count="2" memberValueDatatype="130" unbalanced="0">
      <fieldsUsage count="2">
        <fieldUsage x="-1"/>
        <fieldUsage x="1"/>
      </fieldsUsage>
    </cacheHierarchy>
    <cacheHierarchy uniqueName="[Table_July_2023_Sales_Dataset].[Date Given]" caption="Date Given" attribute="1" defaultMemberUniqueName="[Table_July_2023_Sales_Dataset].[Date Given].[All]" allUniqueName="[Table_July_2023_Sales_Dataset].[Date Given].[All]" dimensionUniqueName="[Table_July_2023_Sales_Dataset]" displayFolder="" count="2" memberValueDatatype="130" unbalanced="0"/>
    <cacheHierarchy uniqueName="[Table_July_2023_Sales_Dataset].[Sales]" caption="Sales" attribute="1" defaultMemberUniqueName="[Table_July_2023_Sales_Dataset].[Sales].[All]" allUniqueName="[Table_July_2023_Sales_Dataset].[Sales].[All]" dimensionUniqueName="[Table_July_2023_Sales_Dataset]" displayFolder="" count="2" memberValueDatatype="130" unbalanced="0">
      <fieldsUsage count="2">
        <fieldUsage x="-1"/>
        <fieldUsage x="2"/>
      </fieldsUsage>
    </cacheHierarchy>
    <cacheHierarchy uniqueName="[Table_July_2023_Sales_Dataset].[State]" caption="State" attribute="1" defaultMemberUniqueName="[Table_July_2023_Sales_Dataset].[State].[All]" allUniqueName="[Table_July_2023_Sales_Dataset].[State].[All]" dimensionUniqueName="[Table_July_2023_Sales_Dataset]" displayFolder="" count="2" memberValueDatatype="130" unbalanced="0"/>
    <cacheHierarchy uniqueName="[Table_July_2023_Sales_Dataset].[Product]" caption="Product" attribute="1" defaultMemberUniqueName="[Table_July_2023_Sales_Dataset].[Product].[All]" allUniqueName="[Table_July_2023_Sales_Dataset].[Product].[All]" dimensionUniqueName="[Table_July_2023_Sales_Dataset]" displayFolder="" count="2" memberValueDatatype="130" unbalanced="0"/>
    <cacheHierarchy uniqueName="[Table_July_2023_Sales_Dataset].[Inspection]" caption="Inspection" attribute="1" defaultMemberUniqueName="[Table_July_2023_Sales_Dataset].[Inspection].[All]" allUniqueName="[Table_July_2023_Sales_Dataset].[Inspection].[All]" dimensionUniqueName="[Table_July_2023_Sales_Dataset]" displayFolder="" count="2" memberValueDatatype="130" unbalanced="0"/>
    <cacheHierarchy uniqueName="[Measures].[__XL_Count Table_July_2023_Sales_Dataset]" caption="__XL_Count Table_July_2023_Sales_Dataset" measure="1" displayFolder="" measureGroup="Table_July_2023_Sales_Dataset" count="0" hidden="1"/>
    <cacheHierarchy uniqueName="[Measures].[__No measures defined]" caption="__No measures defined" measure="1" displayFolder="" count="0" hidden="1"/>
    <cacheHierarchy uniqueName="[Measures].[Count of Client ID]" caption="Count of Client ID" measure="1" displayFolder="" measureGroup="Table_July_2023_Sales_Dataset"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July_2023_Sales_Dataset" uniqueName="[Table_July_2023_Sales_Dataset]" caption="Table_July_2023_Sales_Dataset"/>
  </dimensions>
  <measureGroups count="1">
    <measureGroup name="Table_July_2023_Sales_Dataset" caption="Table_July_2023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UN STEEL ENGINEERING" refreshedDate="46149.743838078706" backgroundQuery="1" createdVersion="8" refreshedVersion="8" minRefreshableVersion="3" recordCount="0" supportSubquery="1" supportAdvancedDrill="1" xr:uid="{86790CC5-DF0F-4989-8BB9-D3C6A97706F6}">
  <cacheSource type="external" connectionId="2"/>
  <cacheFields count="2">
    <cacheField name="[Measures].[Count of Client ID]" caption="Count of Client ID" numFmtId="0" hierarchy="10" level="32767"/>
    <cacheField name="[Table_July_2023_Sales_Dataset].[Sales].[Sales]" caption="Sales" numFmtId="0" hierarchy="4" level="1">
      <sharedItems containsSemiMixedTypes="0" containsNonDate="0" containsString="0"/>
    </cacheField>
  </cacheFields>
  <cacheHierarchies count="11">
    <cacheHierarchy uniqueName="[Table_July_2023_Sales_Dataset].[Client ID]" caption="Client ID" attribute="1" defaultMemberUniqueName="[Table_July_2023_Sales_Dataset].[Client ID].[All]" allUniqueName="[Table_July_2023_Sales_Dataset].[Client ID].[All]" dimensionUniqueName="[Table_July_2023_Sales_Dataset]" displayFolder="" count="0" memberValueDatatype="130" unbalanced="0"/>
    <cacheHierarchy uniqueName="[Table_July_2023_Sales_Dataset].[Client Gender]" caption="Client Gender" attribute="1" defaultMemberUniqueName="[Table_July_2023_Sales_Dataset].[Client Gender].[All]" allUniqueName="[Table_July_2023_Sales_Dataset].[Client Gender].[All]" dimensionUniqueName="[Table_July_2023_Sales_Dataset]" displayFolder="" count="2" memberValueDatatype="130" unbalanced="0"/>
    <cacheHierarchy uniqueName="[Table_July_2023_Sales_Dataset].[Sales Person]" caption="Sales Person" attribute="1" defaultMemberUniqueName="[Table_July_2023_Sales_Dataset].[Sales Person].[All]" allUniqueName="[Table_July_2023_Sales_Dataset].[Sales Person].[All]" dimensionUniqueName="[Table_July_2023_Sales_Dataset]" displayFolder="" count="2" memberValueDatatype="130" unbalanced="0"/>
    <cacheHierarchy uniqueName="[Table_July_2023_Sales_Dataset].[Date Given]" caption="Date Given" attribute="1" defaultMemberUniqueName="[Table_July_2023_Sales_Dataset].[Date Given].[All]" allUniqueName="[Table_July_2023_Sales_Dataset].[Date Given].[All]" dimensionUniqueName="[Table_July_2023_Sales_Dataset]" displayFolder="" count="0" memberValueDatatype="130" unbalanced="0"/>
    <cacheHierarchy uniqueName="[Table_July_2023_Sales_Dataset].[Sales]" caption="Sales" attribute="1" defaultMemberUniqueName="[Table_July_2023_Sales_Dataset].[Sales].[All]" allUniqueName="[Table_July_2023_Sales_Dataset].[Sales].[All]" dimensionUniqueName="[Table_July_2023_Sales_Dataset]" displayFolder="" count="2" memberValueDatatype="130" unbalanced="0">
      <fieldsUsage count="2">
        <fieldUsage x="-1"/>
        <fieldUsage x="1"/>
      </fieldsUsage>
    </cacheHierarchy>
    <cacheHierarchy uniqueName="[Table_July_2023_Sales_Dataset].[State]" caption="State" attribute="1" defaultMemberUniqueName="[Table_July_2023_Sales_Dataset].[State].[All]" allUniqueName="[Table_July_2023_Sales_Dataset].[State].[All]" dimensionUniqueName="[Table_July_2023_Sales_Dataset]" displayFolder="" count="0" memberValueDatatype="130" unbalanced="0"/>
    <cacheHierarchy uniqueName="[Table_July_2023_Sales_Dataset].[Product]" caption="Product" attribute="1" defaultMemberUniqueName="[Table_July_2023_Sales_Dataset].[Product].[All]" allUniqueName="[Table_July_2023_Sales_Dataset].[Product].[All]" dimensionUniqueName="[Table_July_2023_Sales_Dataset]" displayFolder="" count="2" memberValueDatatype="130" unbalanced="0"/>
    <cacheHierarchy uniqueName="[Table_July_2023_Sales_Dataset].[Inspection]" caption="Inspection" attribute="1" defaultMemberUniqueName="[Table_July_2023_Sales_Dataset].[Inspection].[All]" allUniqueName="[Table_July_2023_Sales_Dataset].[Inspection].[All]" dimensionUniqueName="[Table_July_2023_Sales_Dataset]" displayFolder="" count="2" memberValueDatatype="130" unbalanced="0"/>
    <cacheHierarchy uniqueName="[Measures].[__XL_Count Table_July_2023_Sales_Dataset]" caption="__XL_Count Table_July_2023_Sales_Dataset" measure="1" displayFolder="" measureGroup="Table_July_2023_Sales_Dataset" count="0" hidden="1"/>
    <cacheHierarchy uniqueName="[Measures].[__No measures defined]" caption="__No measures defined" measure="1" displayFolder="" count="0" hidden="1"/>
    <cacheHierarchy uniqueName="[Measures].[Count of Client ID]" caption="Count of Client ID" measure="1" displayFolder="" measureGroup="Table_July_2023_Sales_Dataset"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_July_2023_Sales_Dataset" uniqueName="[Table_July_2023_Sales_Dataset]" caption="Table_July_2023_Sales_Dataset"/>
  </dimensions>
  <measureGroups count="1">
    <measureGroup name="Table_July_2023_Sales_Dataset" caption="Table_July_2023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31.833741203707" backgroundQuery="1" createdVersion="3" refreshedVersion="8" minRefreshableVersion="3" recordCount="0" supportSubquery="1" supportAdvancedDrill="1" xr:uid="{41F513E6-B45E-4A2B-A8B0-5A15B47A89E1}">
  <cacheSource type="external" connectionId="2">
    <extLst>
      <ext xmlns:x14="http://schemas.microsoft.com/office/spreadsheetml/2009/9/main" uri="{F057638F-6D5F-4e77-A914-E7F072B9BCA8}">
        <x14:sourceConnection name="ThisWorkbookDataModel"/>
      </ext>
    </extLst>
  </cacheSource>
  <cacheFields count="0"/>
  <cacheHierarchies count="11">
    <cacheHierarchy uniqueName="[Table_July_2023_Sales_Dataset].[Client ID]" caption="Client ID" attribute="1" defaultMemberUniqueName="[Table_July_2023_Sales_Dataset].[Client ID].[All]" allUniqueName="[Table_July_2023_Sales_Dataset].[Client ID].[All]" dimensionUniqueName="[Table_July_2023_Sales_Dataset]" displayFolder="" count="0" memberValueDatatype="130" unbalanced="0"/>
    <cacheHierarchy uniqueName="[Table_July_2023_Sales_Dataset].[Client Gender]" caption="Client Gender" attribute="1" defaultMemberUniqueName="[Table_July_2023_Sales_Dataset].[Client Gender].[All]" allUniqueName="[Table_July_2023_Sales_Dataset].[Client Gender].[All]" dimensionUniqueName="[Table_July_2023_Sales_Dataset]" displayFolder="" count="2" memberValueDatatype="130" unbalanced="0"/>
    <cacheHierarchy uniqueName="[Table_July_2023_Sales_Dataset].[Sales Person]" caption="Sales Person" attribute="1" defaultMemberUniqueName="[Table_July_2023_Sales_Dataset].[Sales Person].[All]" allUniqueName="[Table_July_2023_Sales_Dataset].[Sales Person].[All]" dimensionUniqueName="[Table_July_2023_Sales_Dataset]" displayFolder="" count="2" memberValueDatatype="130" unbalanced="0"/>
    <cacheHierarchy uniqueName="[Table_July_2023_Sales_Dataset].[Date Given]" caption="Date Given" attribute="1" defaultMemberUniqueName="[Table_July_2023_Sales_Dataset].[Date Given].[All]" allUniqueName="[Table_July_2023_Sales_Dataset].[Date Given].[All]" dimensionUniqueName="[Table_July_2023_Sales_Dataset]" displayFolder="" count="0" memberValueDatatype="130" unbalanced="0"/>
    <cacheHierarchy uniqueName="[Table_July_2023_Sales_Dataset].[Sales]" caption="Sales" attribute="1" defaultMemberUniqueName="[Table_July_2023_Sales_Dataset].[Sales].[All]" allUniqueName="[Table_July_2023_Sales_Dataset].[Sales].[All]" dimensionUniqueName="[Table_July_2023_Sales_Dataset]" displayFolder="" count="2" memberValueDatatype="130" unbalanced="0"/>
    <cacheHierarchy uniqueName="[Table_July_2023_Sales_Dataset].[State]" caption="State" attribute="1" defaultMemberUniqueName="[Table_July_2023_Sales_Dataset].[State].[All]" allUniqueName="[Table_July_2023_Sales_Dataset].[State].[All]" dimensionUniqueName="[Table_July_2023_Sales_Dataset]" displayFolder="" count="0" memberValueDatatype="130" unbalanced="0"/>
    <cacheHierarchy uniqueName="[Table_July_2023_Sales_Dataset].[Product]" caption="Product" attribute="1" defaultMemberUniqueName="[Table_July_2023_Sales_Dataset].[Product].[All]" allUniqueName="[Table_July_2023_Sales_Dataset].[Product].[All]" dimensionUniqueName="[Table_July_2023_Sales_Dataset]" displayFolder="" count="2" memberValueDatatype="130" unbalanced="0"/>
    <cacheHierarchy uniqueName="[Table_July_2023_Sales_Dataset].[Inspection]" caption="Inspection" attribute="1" defaultMemberUniqueName="[Table_July_2023_Sales_Dataset].[Inspection].[All]" allUniqueName="[Table_July_2023_Sales_Dataset].[Inspection].[All]" dimensionUniqueName="[Table_July_2023_Sales_Dataset]" displayFolder="" count="2" memberValueDatatype="130" unbalanced="0"/>
    <cacheHierarchy uniqueName="[Measures].[__XL_Count Table_July_2023_Sales_Dataset]" caption="__XL_Count Table_July_2023_Sales_Dataset" measure="1" displayFolder="" measureGroup="Table_July_2023_Sales_Dataset" count="0" hidden="1"/>
    <cacheHierarchy uniqueName="[Measures].[__No measures defined]" caption="__No measures defined" measure="1" displayFolder="" count="0" hidden="1"/>
    <cacheHierarchy uniqueName="[Measures].[Count of Client ID]" caption="Count of Client ID" measure="1" displayFolder="" measureGroup="Table_July_2023_Sales_Dataset"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9667240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B98F56-A599-4873-BB8C-5C7CC0797ECD}" name="Total lead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lient ID" fld="0" subtotal="count" baseField="0" baseItem="0"/>
  </dataFields>
  <pivotHierarchies count="1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Cleaned Data.xlsx!Table_July_2023_Sales_Dataset">
        <x15:activeTabTopLevelEntity name="[Table_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5B4067-A06A-473E-9689-63D8D280C245}" name="Branch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4:Q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l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Cleaned Data.xlsx!Table_July_2023_Sales_Dataset">
        <x15:activeTabTopLevelEntity name="[Table_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21A2D-7C44-4D76-8773-EB1F821384BC}" name="Gender"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H4:I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lient ID"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1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Cleaned Data.xlsx!Table_July_2023_Sales_Dataset">
        <x15:activeTabTopLevelEntity name="[Table_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CD1E9A-4C8C-4447-92B7-8C6F03693C4A}" name="Sales Executive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E11"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Client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Cleaned Data.xlsx!Table_July_2023_Sales_Dataset">
        <x15:activeTabTopLevelEntity name="[Table_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CB33E8-5D32-4A85-8467-434B1B320D64}" name="Inspection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X4:Y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lient ID"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1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Cleaned Data.xlsx!Table_July_2023_Sales_Dataset">
        <x15:activeTabTopLevelEntity name="[Table_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43A7D6-7AFE-4B55-A9CC-5937F9D2A3F4}" name="Property Typ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4:U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lien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1">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Cleaned Data.xlsx!Table_July_2023_Sales_Dataset">
        <x15:activeTabTopLevelEntity name="[Table_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69A74A-D1D3-4CBC-9D45-3BFBAF8ACE4C}" name="Sales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4:M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Clien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erald Cleaned Data.xlsx!Table_July_2023_Sales_Dataset">
        <x15:activeTabTopLevelEntity name="[Table_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AE587A8-E2F3-48BC-BB05-9708F21704FB}" autoFormatId="16" applyNumberFormats="0" applyBorderFormats="0" applyFontFormats="0" applyPatternFormats="0" applyAlignmentFormats="0" applyWidthHeightFormats="0">
  <queryTableRefresh nextId="9">
    <queryTableFields count="8">
      <queryTableField id="1" name="Client ID" tableColumnId="1"/>
      <queryTableField id="2" name="Client Gender" tableColumnId="2"/>
      <queryTableField id="3" name="Sales Person" tableColumnId="3"/>
      <queryTableField id="4" name="Date Given" tableColumnId="4"/>
      <queryTableField id="5" name="Sales" tableColumnId="5"/>
      <queryTableField id="6" name="State" tableColumnId="6"/>
      <queryTableField id="7" name="Product" tableColumnId="7"/>
      <queryTableField id="8" name="Inspection"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3AD33E5D-E13D-43A9-8764-B6E81583059F}" sourceName="[Table_July_2023_Sales_Dataset].[Sales Person]">
  <pivotTables>
    <pivotTable tabId="3" name="Total leads"/>
    <pivotTable tabId="3" name="Gender"/>
    <pivotTable tabId="3" name="Sales status"/>
    <pivotTable tabId="3" name="Branches"/>
    <pivotTable tabId="3" name="Property Type"/>
    <pivotTable tabId="3" name="Inspections"/>
  </pivotTables>
  <data>
    <olap pivotCacheId="1966724073">
      <levels count="2">
        <level uniqueName="[Table_July_2023_Sales_Dataset].[Sales Person].[(All)]" sourceCaption="(All)" count="0"/>
        <level uniqueName="[Table_July_2023_Sales_Dataset].[Sales Person].[Sales Person]" sourceCaption="Sales Person" count="6">
          <ranges>
            <range startItem="0">
              <i n="[Table_July_2023_Sales_Dataset].[Sales Person].&amp;[Ahmed]" c="Ahmed"/>
              <i n="[Table_July_2023_Sales_Dataset].[Sales Person].&amp;[Chioma]" c="Chioma"/>
              <i n="[Table_July_2023_Sales_Dataset].[Sales Person].&amp;[Chukwudi]" c="Chukwudi"/>
              <i n="[Table_July_2023_Sales_Dataset].[Sales Person].&amp;[Funmi]" c="Funmi"/>
              <i n="[Table_July_2023_Sales_Dataset].[Sales Person].&amp;[Ngozi]" c="Ngozi"/>
              <i n="[Table_July_2023_Sales_Dataset].[Sales Person].&amp;[Olumide]" c="Olumide"/>
            </range>
          </ranges>
        </level>
      </levels>
      <selections count="1">
        <selection n="[Table_July_2023_Sales_Dataset].[Sales 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25CA2D86-FBAD-44B4-8527-8E61391DC1F3}" sourceName="[Table_July_2023_Sales_Dataset].[Sales]">
  <pivotTables>
    <pivotTable tabId="3" name="Branches"/>
    <pivotTable tabId="3" name="Gender"/>
    <pivotTable tabId="3" name="Inspections"/>
    <pivotTable tabId="3" name="Property Type"/>
    <pivotTable tabId="3" name="Sales Executives"/>
    <pivotTable tabId="3" name="Total leads"/>
  </pivotTables>
  <data>
    <olap pivotCacheId="1966724073">
      <levels count="2">
        <level uniqueName="[Table_July_2023_Sales_Dataset].[Sales].[(All)]" sourceCaption="(All)" count="0"/>
        <level uniqueName="[Table_July_2023_Sales_Dataset].[Sales].[Sales]" sourceCaption="Sales" count="4">
          <ranges>
            <range startItem="0">
              <i n="[Table_July_2023_Sales_Dataset].[Sales].&amp;[Next Time]" c="Next Time"/>
              <i n="[Table_July_2023_Sales_Dataset].[Sales].&amp;[Not Interested]" c="Not Interested"/>
              <i n="[Table_July_2023_Sales_Dataset].[Sales].&amp;[Paid]" c="Paid"/>
              <i n="[Table_July_2023_Sales_Dataset].[Sales].&amp;[Too Expensive]" c="Too Expensive"/>
            </range>
          </ranges>
        </level>
      </levels>
      <selections count="1">
        <selection n="[Table_July_2023_Sales_Dataset].[Sale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4124697-A14E-40BA-BAA7-B0FC57C55024}" sourceName="[Table_July_2023_Sales_Dataset].[Product]">
  <pivotTables>
    <pivotTable tabId="3" name="Sales Executives"/>
    <pivotTable tabId="3" name="Branches"/>
    <pivotTable tabId="3" name="Gender"/>
    <pivotTable tabId="3" name="Inspections"/>
    <pivotTable tabId="3" name="Sales status"/>
    <pivotTable tabId="3" name="Total leads"/>
    <pivotTable tabId="3" name="Property Type"/>
  </pivotTables>
  <data>
    <olap pivotCacheId="1966724073">
      <levels count="2">
        <level uniqueName="[Table_July_2023_Sales_Dataset].[Product].[(All)]" sourceCaption="(All)" count="0"/>
        <level uniqueName="[Table_July_2023_Sales_Dataset].[Product].[Product]" sourceCaption="Product" count="3">
          <ranges>
            <range startItem="0">
              <i n="[Table_July_2023_Sales_Dataset].[Product].&amp;[Commercial]" c="Commercial"/>
              <i n="[Table_July_2023_Sales_Dataset].[Product].&amp;[Industrial]" c="Industrial"/>
              <i n="[Table_July_2023_Sales_Dataset].[Product].&amp;[Residential]" c="Residential"/>
            </range>
          </ranges>
        </level>
      </levels>
      <selections count="1">
        <selection n="[Table_July_2023_Sales_Dataset].[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Gender" xr10:uid="{0EC3DC96-916F-44A8-9F52-4AC2247479DE}" sourceName="[Table_July_2023_Sales_Dataset].[Client Gender]">
  <pivotTables>
    <pivotTable tabId="3" name="Branches"/>
    <pivotTable tabId="3" name="Inspections"/>
    <pivotTable tabId="3" name="Property Type"/>
    <pivotTable tabId="3" name="Sales Executives"/>
    <pivotTable tabId="3" name="Sales status"/>
    <pivotTable tabId="3" name="Total leads"/>
    <pivotTable tabId="3" name="Gender"/>
  </pivotTables>
  <data>
    <olap pivotCacheId="1966724073">
      <levels count="2">
        <level uniqueName="[Table_July_2023_Sales_Dataset].[Client Gender].[(All)]" sourceCaption="(All)" count="0"/>
        <level uniqueName="[Table_July_2023_Sales_Dataset].[Client Gender].[Client Gender]" sourceCaption="Client Gender" count="2">
          <ranges>
            <range startItem="0">
              <i n="[Table_July_2023_Sales_Dataset].[Client Gender].&amp;[Female]" c="Female"/>
              <i n="[Table_July_2023_Sales_Dataset].[Client Gender].&amp;[Male]" c="Male"/>
            </range>
          </ranges>
        </level>
      </levels>
      <selections count="1">
        <selection n="[Table_July_2023_Sales_Dataset].[Client 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 xr10:uid="{DC4D5B3B-69A3-44EB-85B4-6911292A29FA}" sourceName="[Table_July_2023_Sales_Dataset].[Inspection]">
  <pivotTables>
    <pivotTable tabId="3" name="Branches"/>
    <pivotTable tabId="3" name="Gender"/>
    <pivotTable tabId="3" name="Property Type"/>
    <pivotTable tabId="3" name="Sales Executives"/>
    <pivotTable tabId="3" name="Sales status"/>
    <pivotTable tabId="3" name="Total leads"/>
  </pivotTables>
  <data>
    <olap pivotCacheId="1966724073">
      <levels count="2">
        <level uniqueName="[Table_July_2023_Sales_Dataset].[Inspection].[(All)]" sourceCaption="(All)" count="0"/>
        <level uniqueName="[Table_July_2023_Sales_Dataset].[Inspection].[Inspection]" sourceCaption="Inspection" count="2">
          <ranges>
            <range startItem="0">
              <i n="[Table_July_2023_Sales_Dataset].[Inspection].&amp;[No]" c="No"/>
              <i n="[Table_July_2023_Sales_Dataset].[Inspection].&amp;[Yes]" c="Yes"/>
            </range>
          </ranges>
        </level>
      </levels>
      <selections count="1">
        <selection n="[Table_July_2023_Sales_Dataset].[Inspec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61DB70BE-0E21-4637-9C93-C5DC6EEED654}" cache="Slicer_Sales_Person" caption="Sales Person" level="1" style="Slicer Style 1" rowHeight="234950"/>
  <slicer name="Sales" xr10:uid="{7C173AE9-E014-4AE1-9111-157AFFA412BF}" cache="Slicer_Sales" caption="Sales" level="1" style="Slicer Style 1" rowHeight="234950"/>
  <slicer name="Product" xr10:uid="{B6E02FB6-B2E3-415C-A7C3-8477CF3DFA3C}" cache="Slicer_Product" caption="Product" columnCount="3" level="1" style="Slicer Style 1" rowHeight="234950"/>
  <slicer name="Client Gender" xr10:uid="{120F2AD4-011E-48A9-A8CD-9C2A38D1361D}" cache="Slicer_Client_Gender" caption="Client Gender" columnCount="2" level="1" style="Slicer Style 1" rowHeight="234950"/>
  <slicer name="Inspection" xr10:uid="{3DDA736F-17E2-467F-AE06-5431974649FA}" cache="Slicer_Inspection" caption="Inspection" columnCount="2"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B9479-6B1D-40F0-8AAC-574C76F89EC3}" name="Table_July_2023_Sales_Dataset" displayName="Table_July_2023_Sales_Dataset" ref="A1:H194" tableType="queryTable" totalsRowShown="0">
  <autoFilter ref="A1:H194" xr:uid="{687B9479-6B1D-40F0-8AAC-574C76F89EC3}"/>
  <tableColumns count="8">
    <tableColumn id="1" xr3:uid="{4CBFA8CA-8750-4C6C-A62D-1DEFDC98009F}" uniqueName="1" name="Client ID" queryTableFieldId="1" dataDxfId="7"/>
    <tableColumn id="2" xr3:uid="{6FBD638C-BC38-4E4E-8475-47EB2CE6BDC4}" uniqueName="2" name="Client Gender" queryTableFieldId="2" dataDxfId="6"/>
    <tableColumn id="3" xr3:uid="{346EA4D4-B8E3-4785-8300-5DF42C5248E5}" uniqueName="3" name="Sales Person" queryTableFieldId="3" dataDxfId="5"/>
    <tableColumn id="4" xr3:uid="{09222158-026B-40DC-B0BC-0C2ECA0641E9}" uniqueName="4" name="Date Given" queryTableFieldId="4" dataDxfId="4"/>
    <tableColumn id="5" xr3:uid="{B93B882E-C804-423D-87EF-DFF283D5118A}" uniqueName="5" name="Sales" queryTableFieldId="5" dataDxfId="3"/>
    <tableColumn id="6" xr3:uid="{05798862-3EE5-4495-9093-A55030188D55}" uniqueName="6" name="State" queryTableFieldId="6" dataDxfId="2"/>
    <tableColumn id="7" xr3:uid="{6682ECA3-9247-4337-BDCE-1DB6327E211E}" uniqueName="7" name="Product" queryTableFieldId="7" dataDxfId="1"/>
    <tableColumn id="8" xr3:uid="{ABE9BFB5-665D-4B92-82AE-3C7AE4728C39}" uniqueName="8" name="Inspection"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28073-052F-4A0C-B2DC-411BA5F42C84}">
  <dimension ref="A1:H194"/>
  <sheetViews>
    <sheetView tabSelected="1" topLeftCell="A49" workbookViewId="0">
      <selection activeCell="I129" sqref="I129"/>
    </sheetView>
  </sheetViews>
  <sheetFormatPr defaultRowHeight="14.4" x14ac:dyDescent="0.3"/>
  <cols>
    <col min="1" max="1" width="10.88671875" bestFit="1" customWidth="1"/>
    <col min="2" max="2" width="15.88671875" bestFit="1" customWidth="1"/>
    <col min="3" max="3" width="14.44140625" bestFit="1" customWidth="1"/>
    <col min="4" max="4" width="13.109375" bestFit="1" customWidth="1"/>
    <col min="5" max="5" width="14.109375" bestFit="1" customWidth="1"/>
    <col min="6" max="6" width="7.88671875" bestFit="1" customWidth="1"/>
    <col min="7" max="7" width="11.5546875" bestFit="1" customWidth="1"/>
    <col min="8" max="8" width="12.5546875" bestFit="1" customWidth="1"/>
  </cols>
  <sheetData>
    <row r="1" spans="1:8" x14ac:dyDescent="0.3">
      <c r="A1" t="s">
        <v>0</v>
      </c>
      <c r="B1" t="s">
        <v>1</v>
      </c>
      <c r="C1" t="s">
        <v>2</v>
      </c>
      <c r="D1" t="s">
        <v>3</v>
      </c>
      <c r="E1" t="s">
        <v>4</v>
      </c>
      <c r="F1" t="s">
        <v>5</v>
      </c>
      <c r="G1" t="s">
        <v>6</v>
      </c>
      <c r="H1" t="s">
        <v>7</v>
      </c>
    </row>
    <row r="2" spans="1:8" x14ac:dyDescent="0.3">
      <c r="A2" t="s">
        <v>8</v>
      </c>
      <c r="B2" t="s">
        <v>9</v>
      </c>
      <c r="C2" t="s">
        <v>10</v>
      </c>
      <c r="D2" t="s">
        <v>11</v>
      </c>
      <c r="E2" t="s">
        <v>12</v>
      </c>
      <c r="F2" t="s">
        <v>13</v>
      </c>
      <c r="G2" t="s">
        <v>14</v>
      </c>
      <c r="H2" t="s">
        <v>15</v>
      </c>
    </row>
    <row r="3" spans="1:8" x14ac:dyDescent="0.3">
      <c r="A3" t="s">
        <v>16</v>
      </c>
      <c r="B3" t="s">
        <v>9</v>
      </c>
      <c r="C3" t="s">
        <v>17</v>
      </c>
      <c r="D3" t="s">
        <v>18</v>
      </c>
      <c r="E3" t="s">
        <v>19</v>
      </c>
      <c r="F3" t="s">
        <v>13</v>
      </c>
      <c r="G3" t="s">
        <v>20</v>
      </c>
      <c r="H3" t="s">
        <v>15</v>
      </c>
    </row>
    <row r="4" spans="1:8" x14ac:dyDescent="0.3">
      <c r="A4" t="s">
        <v>21</v>
      </c>
      <c r="B4" t="s">
        <v>9</v>
      </c>
      <c r="C4" t="s">
        <v>10</v>
      </c>
      <c r="D4" t="s">
        <v>22</v>
      </c>
      <c r="E4" t="s">
        <v>23</v>
      </c>
      <c r="F4" t="s">
        <v>24</v>
      </c>
      <c r="G4" t="s">
        <v>25</v>
      </c>
      <c r="H4" t="s">
        <v>15</v>
      </c>
    </row>
    <row r="5" spans="1:8" x14ac:dyDescent="0.3">
      <c r="A5" t="s">
        <v>26</v>
      </c>
      <c r="B5" t="s">
        <v>9</v>
      </c>
      <c r="C5" t="s">
        <v>10</v>
      </c>
      <c r="D5" t="s">
        <v>27</v>
      </c>
      <c r="E5" t="s">
        <v>19</v>
      </c>
      <c r="F5" t="s">
        <v>13</v>
      </c>
      <c r="G5" t="s">
        <v>14</v>
      </c>
      <c r="H5" t="s">
        <v>28</v>
      </c>
    </row>
    <row r="6" spans="1:8" x14ac:dyDescent="0.3">
      <c r="A6" t="s">
        <v>29</v>
      </c>
      <c r="B6" t="s">
        <v>30</v>
      </c>
      <c r="C6" t="s">
        <v>31</v>
      </c>
      <c r="D6" t="s">
        <v>32</v>
      </c>
      <c r="E6" t="s">
        <v>23</v>
      </c>
      <c r="F6" t="s">
        <v>24</v>
      </c>
      <c r="G6" t="s">
        <v>25</v>
      </c>
      <c r="H6" t="s">
        <v>15</v>
      </c>
    </row>
    <row r="7" spans="1:8" x14ac:dyDescent="0.3">
      <c r="A7" t="s">
        <v>33</v>
      </c>
      <c r="B7" t="s">
        <v>9</v>
      </c>
      <c r="C7" t="s">
        <v>34</v>
      </c>
      <c r="D7" t="s">
        <v>35</v>
      </c>
      <c r="E7" t="s">
        <v>12</v>
      </c>
      <c r="F7" t="s">
        <v>24</v>
      </c>
      <c r="G7" t="s">
        <v>25</v>
      </c>
      <c r="H7" t="s">
        <v>28</v>
      </c>
    </row>
    <row r="8" spans="1:8" x14ac:dyDescent="0.3">
      <c r="A8" t="s">
        <v>36</v>
      </c>
      <c r="B8" t="s">
        <v>9</v>
      </c>
      <c r="C8" t="s">
        <v>31</v>
      </c>
      <c r="D8" t="s">
        <v>37</v>
      </c>
      <c r="E8" t="s">
        <v>19</v>
      </c>
      <c r="F8" t="s">
        <v>13</v>
      </c>
      <c r="G8" t="s">
        <v>20</v>
      </c>
      <c r="H8" t="s">
        <v>28</v>
      </c>
    </row>
    <row r="9" spans="1:8" x14ac:dyDescent="0.3">
      <c r="A9" t="s">
        <v>38</v>
      </c>
      <c r="B9" t="s">
        <v>9</v>
      </c>
      <c r="C9" t="s">
        <v>10</v>
      </c>
      <c r="D9" t="s">
        <v>39</v>
      </c>
      <c r="E9" t="s">
        <v>40</v>
      </c>
      <c r="F9" t="s">
        <v>13</v>
      </c>
      <c r="G9" t="s">
        <v>25</v>
      </c>
      <c r="H9" t="s">
        <v>28</v>
      </c>
    </row>
    <row r="10" spans="1:8" x14ac:dyDescent="0.3">
      <c r="A10" t="s">
        <v>41</v>
      </c>
      <c r="B10" t="s">
        <v>9</v>
      </c>
      <c r="C10" t="s">
        <v>31</v>
      </c>
      <c r="D10" t="s">
        <v>42</v>
      </c>
      <c r="E10" t="s">
        <v>19</v>
      </c>
      <c r="F10" t="s">
        <v>24</v>
      </c>
      <c r="G10" t="s">
        <v>20</v>
      </c>
      <c r="H10" t="s">
        <v>28</v>
      </c>
    </row>
    <row r="11" spans="1:8" x14ac:dyDescent="0.3">
      <c r="A11" t="s">
        <v>43</v>
      </c>
      <c r="B11" t="s">
        <v>30</v>
      </c>
      <c r="C11" t="s">
        <v>31</v>
      </c>
      <c r="D11" t="s">
        <v>44</v>
      </c>
      <c r="E11" t="s">
        <v>23</v>
      </c>
      <c r="F11" t="s">
        <v>13</v>
      </c>
      <c r="G11" t="s">
        <v>25</v>
      </c>
      <c r="H11" t="s">
        <v>15</v>
      </c>
    </row>
    <row r="12" spans="1:8" x14ac:dyDescent="0.3">
      <c r="A12" t="s">
        <v>45</v>
      </c>
      <c r="B12" t="s">
        <v>9</v>
      </c>
      <c r="C12" t="s">
        <v>31</v>
      </c>
      <c r="D12" t="s">
        <v>46</v>
      </c>
      <c r="E12" t="s">
        <v>40</v>
      </c>
      <c r="F12" t="s">
        <v>24</v>
      </c>
      <c r="G12" t="s">
        <v>14</v>
      </c>
      <c r="H12" t="s">
        <v>28</v>
      </c>
    </row>
    <row r="13" spans="1:8" x14ac:dyDescent="0.3">
      <c r="A13" t="s">
        <v>47</v>
      </c>
      <c r="B13" t="s">
        <v>9</v>
      </c>
      <c r="C13" t="s">
        <v>48</v>
      </c>
      <c r="D13" t="s">
        <v>49</v>
      </c>
      <c r="E13" t="s">
        <v>40</v>
      </c>
      <c r="F13" t="s">
        <v>13</v>
      </c>
      <c r="G13" t="s">
        <v>20</v>
      </c>
      <c r="H13" t="s">
        <v>28</v>
      </c>
    </row>
    <row r="14" spans="1:8" x14ac:dyDescent="0.3">
      <c r="A14" t="s">
        <v>50</v>
      </c>
      <c r="B14" t="s">
        <v>9</v>
      </c>
      <c r="C14" t="s">
        <v>10</v>
      </c>
      <c r="D14" t="s">
        <v>51</v>
      </c>
      <c r="E14" t="s">
        <v>40</v>
      </c>
      <c r="F14" t="s">
        <v>13</v>
      </c>
      <c r="G14" t="s">
        <v>25</v>
      </c>
      <c r="H14" t="s">
        <v>15</v>
      </c>
    </row>
    <row r="15" spans="1:8" x14ac:dyDescent="0.3">
      <c r="A15" t="s">
        <v>52</v>
      </c>
      <c r="B15" t="s">
        <v>30</v>
      </c>
      <c r="C15" t="s">
        <v>10</v>
      </c>
      <c r="D15" t="s">
        <v>53</v>
      </c>
      <c r="E15" t="s">
        <v>23</v>
      </c>
      <c r="F15" t="s">
        <v>13</v>
      </c>
      <c r="G15" t="s">
        <v>14</v>
      </c>
      <c r="H15" t="s">
        <v>28</v>
      </c>
    </row>
    <row r="16" spans="1:8" x14ac:dyDescent="0.3">
      <c r="A16" t="s">
        <v>54</v>
      </c>
      <c r="B16" t="s">
        <v>9</v>
      </c>
      <c r="C16" t="s">
        <v>31</v>
      </c>
      <c r="D16" t="s">
        <v>55</v>
      </c>
      <c r="E16" t="s">
        <v>23</v>
      </c>
      <c r="F16" t="s">
        <v>24</v>
      </c>
      <c r="G16" t="s">
        <v>14</v>
      </c>
      <c r="H16" t="s">
        <v>15</v>
      </c>
    </row>
    <row r="17" spans="1:8" x14ac:dyDescent="0.3">
      <c r="A17" t="s">
        <v>56</v>
      </c>
      <c r="B17" t="s">
        <v>9</v>
      </c>
      <c r="C17" t="s">
        <v>17</v>
      </c>
      <c r="D17" t="s">
        <v>57</v>
      </c>
      <c r="E17" t="s">
        <v>12</v>
      </c>
      <c r="F17" t="s">
        <v>13</v>
      </c>
      <c r="G17" t="s">
        <v>14</v>
      </c>
      <c r="H17" t="s">
        <v>15</v>
      </c>
    </row>
    <row r="18" spans="1:8" x14ac:dyDescent="0.3">
      <c r="A18" t="s">
        <v>58</v>
      </c>
      <c r="B18" t="s">
        <v>30</v>
      </c>
      <c r="C18" t="s">
        <v>10</v>
      </c>
      <c r="D18" t="s">
        <v>59</v>
      </c>
      <c r="E18" t="s">
        <v>19</v>
      </c>
      <c r="F18" t="s">
        <v>13</v>
      </c>
      <c r="G18" t="s">
        <v>20</v>
      </c>
      <c r="H18" t="s">
        <v>28</v>
      </c>
    </row>
    <row r="19" spans="1:8" x14ac:dyDescent="0.3">
      <c r="A19" t="s">
        <v>60</v>
      </c>
      <c r="B19" t="s">
        <v>9</v>
      </c>
      <c r="C19" t="s">
        <v>10</v>
      </c>
      <c r="D19" t="s">
        <v>61</v>
      </c>
      <c r="E19" t="s">
        <v>19</v>
      </c>
      <c r="F19" t="s">
        <v>13</v>
      </c>
      <c r="G19" t="s">
        <v>14</v>
      </c>
      <c r="H19" t="s">
        <v>28</v>
      </c>
    </row>
    <row r="20" spans="1:8" x14ac:dyDescent="0.3">
      <c r="A20" t="s">
        <v>62</v>
      </c>
      <c r="B20" t="s">
        <v>30</v>
      </c>
      <c r="C20" t="s">
        <v>17</v>
      </c>
      <c r="D20" t="s">
        <v>63</v>
      </c>
      <c r="E20" t="s">
        <v>40</v>
      </c>
      <c r="F20" t="s">
        <v>13</v>
      </c>
      <c r="G20" t="s">
        <v>14</v>
      </c>
      <c r="H20" t="s">
        <v>28</v>
      </c>
    </row>
    <row r="21" spans="1:8" x14ac:dyDescent="0.3">
      <c r="A21" t="s">
        <v>64</v>
      </c>
      <c r="B21" t="s">
        <v>30</v>
      </c>
      <c r="C21" t="s">
        <v>48</v>
      </c>
      <c r="D21" t="s">
        <v>65</v>
      </c>
      <c r="E21" t="s">
        <v>23</v>
      </c>
      <c r="F21" t="s">
        <v>24</v>
      </c>
      <c r="G21" t="s">
        <v>25</v>
      </c>
      <c r="H21" t="s">
        <v>15</v>
      </c>
    </row>
    <row r="22" spans="1:8" x14ac:dyDescent="0.3">
      <c r="A22" t="s">
        <v>66</v>
      </c>
      <c r="B22" t="s">
        <v>30</v>
      </c>
      <c r="C22" t="s">
        <v>31</v>
      </c>
      <c r="D22" t="s">
        <v>67</v>
      </c>
      <c r="E22" t="s">
        <v>19</v>
      </c>
      <c r="F22" t="s">
        <v>13</v>
      </c>
      <c r="G22" t="s">
        <v>20</v>
      </c>
      <c r="H22" t="s">
        <v>28</v>
      </c>
    </row>
    <row r="23" spans="1:8" x14ac:dyDescent="0.3">
      <c r="A23" t="s">
        <v>68</v>
      </c>
      <c r="B23" t="s">
        <v>9</v>
      </c>
      <c r="C23" t="s">
        <v>17</v>
      </c>
      <c r="D23" t="s">
        <v>69</v>
      </c>
      <c r="E23" t="s">
        <v>19</v>
      </c>
      <c r="F23" t="s">
        <v>24</v>
      </c>
      <c r="G23" t="s">
        <v>14</v>
      </c>
      <c r="H23" t="s">
        <v>15</v>
      </c>
    </row>
    <row r="24" spans="1:8" x14ac:dyDescent="0.3">
      <c r="A24" t="s">
        <v>70</v>
      </c>
      <c r="B24" t="s">
        <v>9</v>
      </c>
      <c r="C24" t="s">
        <v>71</v>
      </c>
      <c r="D24" t="s">
        <v>72</v>
      </c>
      <c r="E24" t="s">
        <v>19</v>
      </c>
      <c r="F24" t="s">
        <v>13</v>
      </c>
      <c r="G24" t="s">
        <v>20</v>
      </c>
      <c r="H24" t="s">
        <v>15</v>
      </c>
    </row>
    <row r="25" spans="1:8" x14ac:dyDescent="0.3">
      <c r="A25" t="s">
        <v>73</v>
      </c>
      <c r="B25" t="s">
        <v>9</v>
      </c>
      <c r="C25" t="s">
        <v>31</v>
      </c>
      <c r="D25" t="s">
        <v>74</v>
      </c>
      <c r="E25" t="s">
        <v>40</v>
      </c>
      <c r="F25" t="s">
        <v>13</v>
      </c>
      <c r="G25" t="s">
        <v>20</v>
      </c>
      <c r="H25" t="s">
        <v>28</v>
      </c>
    </row>
    <row r="26" spans="1:8" x14ac:dyDescent="0.3">
      <c r="A26" t="s">
        <v>75</v>
      </c>
      <c r="B26" t="s">
        <v>9</v>
      </c>
      <c r="C26" t="s">
        <v>34</v>
      </c>
      <c r="D26" t="s">
        <v>76</v>
      </c>
      <c r="E26" t="s">
        <v>23</v>
      </c>
      <c r="F26" t="s">
        <v>24</v>
      </c>
      <c r="G26" t="s">
        <v>25</v>
      </c>
      <c r="H26" t="s">
        <v>15</v>
      </c>
    </row>
    <row r="27" spans="1:8" x14ac:dyDescent="0.3">
      <c r="A27" t="s">
        <v>77</v>
      </c>
      <c r="B27" t="s">
        <v>30</v>
      </c>
      <c r="C27" t="s">
        <v>31</v>
      </c>
      <c r="D27" t="s">
        <v>78</v>
      </c>
      <c r="E27" t="s">
        <v>12</v>
      </c>
      <c r="F27" t="s">
        <v>13</v>
      </c>
      <c r="G27" t="s">
        <v>14</v>
      </c>
      <c r="H27" t="s">
        <v>28</v>
      </c>
    </row>
    <row r="28" spans="1:8" x14ac:dyDescent="0.3">
      <c r="A28" t="s">
        <v>79</v>
      </c>
      <c r="B28" t="s">
        <v>30</v>
      </c>
      <c r="C28" t="s">
        <v>31</v>
      </c>
      <c r="D28" t="s">
        <v>80</v>
      </c>
      <c r="E28" t="s">
        <v>23</v>
      </c>
      <c r="F28" t="s">
        <v>13</v>
      </c>
      <c r="G28" t="s">
        <v>25</v>
      </c>
      <c r="H28" t="s">
        <v>28</v>
      </c>
    </row>
    <row r="29" spans="1:8" x14ac:dyDescent="0.3">
      <c r="A29" t="s">
        <v>81</v>
      </c>
      <c r="B29" t="s">
        <v>9</v>
      </c>
      <c r="C29" t="s">
        <v>31</v>
      </c>
      <c r="D29" t="s">
        <v>82</v>
      </c>
      <c r="E29" t="s">
        <v>19</v>
      </c>
      <c r="F29" t="s">
        <v>24</v>
      </c>
      <c r="G29" t="s">
        <v>14</v>
      </c>
      <c r="H29" t="s">
        <v>15</v>
      </c>
    </row>
    <row r="30" spans="1:8" x14ac:dyDescent="0.3">
      <c r="A30" t="s">
        <v>83</v>
      </c>
      <c r="B30" t="s">
        <v>9</v>
      </c>
      <c r="C30" t="s">
        <v>17</v>
      </c>
      <c r="D30" t="s">
        <v>84</v>
      </c>
      <c r="E30" t="s">
        <v>19</v>
      </c>
      <c r="F30" t="s">
        <v>24</v>
      </c>
      <c r="G30" t="s">
        <v>25</v>
      </c>
      <c r="H30" t="s">
        <v>28</v>
      </c>
    </row>
    <row r="31" spans="1:8" x14ac:dyDescent="0.3">
      <c r="A31" t="s">
        <v>85</v>
      </c>
      <c r="B31" t="s">
        <v>30</v>
      </c>
      <c r="C31" t="s">
        <v>34</v>
      </c>
      <c r="D31" t="s">
        <v>86</v>
      </c>
      <c r="E31" t="s">
        <v>23</v>
      </c>
      <c r="F31" t="s">
        <v>13</v>
      </c>
      <c r="G31" t="s">
        <v>25</v>
      </c>
      <c r="H31" t="s">
        <v>15</v>
      </c>
    </row>
    <row r="32" spans="1:8" x14ac:dyDescent="0.3">
      <c r="A32" t="s">
        <v>87</v>
      </c>
      <c r="B32" t="s">
        <v>30</v>
      </c>
      <c r="C32" t="s">
        <v>10</v>
      </c>
      <c r="D32" t="s">
        <v>88</v>
      </c>
      <c r="E32" t="s">
        <v>23</v>
      </c>
      <c r="F32" t="s">
        <v>13</v>
      </c>
      <c r="G32" t="s">
        <v>25</v>
      </c>
      <c r="H32" t="s">
        <v>28</v>
      </c>
    </row>
    <row r="33" spans="1:8" x14ac:dyDescent="0.3">
      <c r="A33" t="s">
        <v>89</v>
      </c>
      <c r="B33" t="s">
        <v>9</v>
      </c>
      <c r="C33" t="s">
        <v>31</v>
      </c>
      <c r="D33" t="s">
        <v>11</v>
      </c>
      <c r="E33" t="s">
        <v>19</v>
      </c>
      <c r="F33" t="s">
        <v>13</v>
      </c>
      <c r="G33" t="s">
        <v>25</v>
      </c>
      <c r="H33" t="s">
        <v>28</v>
      </c>
    </row>
    <row r="34" spans="1:8" x14ac:dyDescent="0.3">
      <c r="A34" t="s">
        <v>90</v>
      </c>
      <c r="B34" t="s">
        <v>9</v>
      </c>
      <c r="C34" t="s">
        <v>71</v>
      </c>
      <c r="D34" t="s">
        <v>18</v>
      </c>
      <c r="E34" t="s">
        <v>40</v>
      </c>
      <c r="F34" t="s">
        <v>24</v>
      </c>
      <c r="G34" t="s">
        <v>25</v>
      </c>
      <c r="H34" t="s">
        <v>15</v>
      </c>
    </row>
    <row r="35" spans="1:8" x14ac:dyDescent="0.3">
      <c r="A35" t="s">
        <v>91</v>
      </c>
      <c r="B35" t="s">
        <v>9</v>
      </c>
      <c r="C35" t="s">
        <v>34</v>
      </c>
      <c r="D35" t="s">
        <v>22</v>
      </c>
      <c r="E35" t="s">
        <v>19</v>
      </c>
      <c r="F35" t="s">
        <v>13</v>
      </c>
      <c r="G35" t="s">
        <v>14</v>
      </c>
      <c r="H35" t="s">
        <v>15</v>
      </c>
    </row>
    <row r="36" spans="1:8" x14ac:dyDescent="0.3">
      <c r="A36" t="s">
        <v>92</v>
      </c>
      <c r="B36" t="s">
        <v>9</v>
      </c>
      <c r="C36" t="s">
        <v>31</v>
      </c>
      <c r="D36" t="s">
        <v>27</v>
      </c>
      <c r="E36" t="s">
        <v>19</v>
      </c>
      <c r="F36" t="s">
        <v>13</v>
      </c>
      <c r="G36" t="s">
        <v>14</v>
      </c>
      <c r="H36" t="s">
        <v>15</v>
      </c>
    </row>
    <row r="37" spans="1:8" x14ac:dyDescent="0.3">
      <c r="A37" t="s">
        <v>93</v>
      </c>
      <c r="B37" t="s">
        <v>30</v>
      </c>
      <c r="C37" t="s">
        <v>48</v>
      </c>
      <c r="D37" t="s">
        <v>32</v>
      </c>
      <c r="E37" t="s">
        <v>23</v>
      </c>
      <c r="F37" t="s">
        <v>13</v>
      </c>
      <c r="G37" t="s">
        <v>25</v>
      </c>
      <c r="H37" t="s">
        <v>15</v>
      </c>
    </row>
    <row r="38" spans="1:8" x14ac:dyDescent="0.3">
      <c r="A38" t="s">
        <v>94</v>
      </c>
      <c r="B38" t="s">
        <v>30</v>
      </c>
      <c r="C38" t="s">
        <v>17</v>
      </c>
      <c r="D38" t="s">
        <v>35</v>
      </c>
      <c r="E38" t="s">
        <v>23</v>
      </c>
      <c r="F38" t="s">
        <v>24</v>
      </c>
      <c r="G38" t="s">
        <v>25</v>
      </c>
      <c r="H38" t="s">
        <v>15</v>
      </c>
    </row>
    <row r="39" spans="1:8" x14ac:dyDescent="0.3">
      <c r="A39" t="s">
        <v>95</v>
      </c>
      <c r="B39" t="s">
        <v>9</v>
      </c>
      <c r="C39" t="s">
        <v>71</v>
      </c>
      <c r="D39" t="s">
        <v>37</v>
      </c>
      <c r="E39" t="s">
        <v>19</v>
      </c>
      <c r="F39" t="s">
        <v>24</v>
      </c>
      <c r="G39" t="s">
        <v>14</v>
      </c>
      <c r="H39" t="s">
        <v>28</v>
      </c>
    </row>
    <row r="40" spans="1:8" x14ac:dyDescent="0.3">
      <c r="A40" t="s">
        <v>96</v>
      </c>
      <c r="B40" t="s">
        <v>9</v>
      </c>
      <c r="C40" t="s">
        <v>48</v>
      </c>
      <c r="D40" t="s">
        <v>39</v>
      </c>
      <c r="E40" t="s">
        <v>19</v>
      </c>
      <c r="F40" t="s">
        <v>13</v>
      </c>
      <c r="G40" t="s">
        <v>25</v>
      </c>
      <c r="H40" t="s">
        <v>28</v>
      </c>
    </row>
    <row r="41" spans="1:8" x14ac:dyDescent="0.3">
      <c r="A41" t="s">
        <v>97</v>
      </c>
      <c r="B41" t="s">
        <v>9</v>
      </c>
      <c r="C41" t="s">
        <v>71</v>
      </c>
      <c r="D41" t="s">
        <v>42</v>
      </c>
      <c r="E41" t="s">
        <v>19</v>
      </c>
      <c r="F41" t="s">
        <v>13</v>
      </c>
      <c r="G41" t="s">
        <v>25</v>
      </c>
      <c r="H41" t="s">
        <v>28</v>
      </c>
    </row>
    <row r="42" spans="1:8" x14ac:dyDescent="0.3">
      <c r="A42" t="s">
        <v>98</v>
      </c>
      <c r="B42" t="s">
        <v>30</v>
      </c>
      <c r="C42" t="s">
        <v>17</v>
      </c>
      <c r="D42" t="s">
        <v>44</v>
      </c>
      <c r="E42" t="s">
        <v>23</v>
      </c>
      <c r="F42" t="s">
        <v>13</v>
      </c>
      <c r="G42" t="s">
        <v>14</v>
      </c>
      <c r="H42" t="s">
        <v>15</v>
      </c>
    </row>
    <row r="43" spans="1:8" x14ac:dyDescent="0.3">
      <c r="A43" t="s">
        <v>99</v>
      </c>
      <c r="B43" t="s">
        <v>30</v>
      </c>
      <c r="C43" t="s">
        <v>17</v>
      </c>
      <c r="D43" t="s">
        <v>46</v>
      </c>
      <c r="E43" t="s">
        <v>23</v>
      </c>
      <c r="F43" t="s">
        <v>13</v>
      </c>
      <c r="G43" t="s">
        <v>25</v>
      </c>
      <c r="H43" t="s">
        <v>28</v>
      </c>
    </row>
    <row r="44" spans="1:8" x14ac:dyDescent="0.3">
      <c r="A44" t="s">
        <v>100</v>
      </c>
      <c r="B44" t="s">
        <v>9</v>
      </c>
      <c r="C44" t="s">
        <v>34</v>
      </c>
      <c r="D44" t="s">
        <v>49</v>
      </c>
      <c r="E44" t="s">
        <v>23</v>
      </c>
      <c r="F44" t="s">
        <v>13</v>
      </c>
      <c r="G44" t="s">
        <v>25</v>
      </c>
      <c r="H44" t="s">
        <v>15</v>
      </c>
    </row>
    <row r="45" spans="1:8" x14ac:dyDescent="0.3">
      <c r="A45" t="s">
        <v>101</v>
      </c>
      <c r="B45" t="s">
        <v>9</v>
      </c>
      <c r="C45" t="s">
        <v>71</v>
      </c>
      <c r="D45" t="s">
        <v>51</v>
      </c>
      <c r="E45" t="s">
        <v>40</v>
      </c>
      <c r="F45" t="s">
        <v>13</v>
      </c>
      <c r="G45" t="s">
        <v>20</v>
      </c>
      <c r="H45" t="s">
        <v>15</v>
      </c>
    </row>
    <row r="46" spans="1:8" x14ac:dyDescent="0.3">
      <c r="A46" t="s">
        <v>102</v>
      </c>
      <c r="B46" t="s">
        <v>30</v>
      </c>
      <c r="C46" t="s">
        <v>34</v>
      </c>
      <c r="D46" t="s">
        <v>53</v>
      </c>
      <c r="E46" t="s">
        <v>12</v>
      </c>
      <c r="F46" t="s">
        <v>24</v>
      </c>
      <c r="G46" t="s">
        <v>20</v>
      </c>
      <c r="H46" t="s">
        <v>28</v>
      </c>
    </row>
    <row r="47" spans="1:8" x14ac:dyDescent="0.3">
      <c r="A47" t="s">
        <v>103</v>
      </c>
      <c r="B47" t="s">
        <v>30</v>
      </c>
      <c r="C47" t="s">
        <v>34</v>
      </c>
      <c r="D47" t="s">
        <v>55</v>
      </c>
      <c r="E47" t="s">
        <v>23</v>
      </c>
      <c r="F47" t="s">
        <v>24</v>
      </c>
      <c r="G47" t="s">
        <v>25</v>
      </c>
      <c r="H47" t="s">
        <v>15</v>
      </c>
    </row>
    <row r="48" spans="1:8" x14ac:dyDescent="0.3">
      <c r="A48" t="s">
        <v>104</v>
      </c>
      <c r="B48" t="s">
        <v>30</v>
      </c>
      <c r="C48" t="s">
        <v>48</v>
      </c>
      <c r="D48" t="s">
        <v>57</v>
      </c>
      <c r="E48" t="s">
        <v>23</v>
      </c>
      <c r="F48" t="s">
        <v>13</v>
      </c>
      <c r="G48" t="s">
        <v>25</v>
      </c>
      <c r="H48" t="s">
        <v>15</v>
      </c>
    </row>
    <row r="49" spans="1:8" x14ac:dyDescent="0.3">
      <c r="A49" t="s">
        <v>105</v>
      </c>
      <c r="B49" t="s">
        <v>9</v>
      </c>
      <c r="C49" t="s">
        <v>17</v>
      </c>
      <c r="D49" t="s">
        <v>59</v>
      </c>
      <c r="E49" t="s">
        <v>12</v>
      </c>
      <c r="F49" t="s">
        <v>13</v>
      </c>
      <c r="G49" t="s">
        <v>14</v>
      </c>
      <c r="H49" t="s">
        <v>15</v>
      </c>
    </row>
    <row r="50" spans="1:8" x14ac:dyDescent="0.3">
      <c r="A50" t="s">
        <v>106</v>
      </c>
      <c r="B50" t="s">
        <v>9</v>
      </c>
      <c r="C50" t="s">
        <v>17</v>
      </c>
      <c r="D50" t="s">
        <v>61</v>
      </c>
      <c r="E50" t="s">
        <v>40</v>
      </c>
      <c r="F50" t="s">
        <v>24</v>
      </c>
      <c r="G50" t="s">
        <v>14</v>
      </c>
      <c r="H50" t="s">
        <v>15</v>
      </c>
    </row>
    <row r="51" spans="1:8" x14ac:dyDescent="0.3">
      <c r="A51" t="s">
        <v>107</v>
      </c>
      <c r="B51" t="s">
        <v>9</v>
      </c>
      <c r="C51" t="s">
        <v>17</v>
      </c>
      <c r="D51" t="s">
        <v>63</v>
      </c>
      <c r="E51" t="s">
        <v>12</v>
      </c>
      <c r="F51" t="s">
        <v>13</v>
      </c>
      <c r="G51" t="s">
        <v>20</v>
      </c>
      <c r="H51" t="s">
        <v>28</v>
      </c>
    </row>
    <row r="52" spans="1:8" x14ac:dyDescent="0.3">
      <c r="A52" t="s">
        <v>108</v>
      </c>
      <c r="B52" t="s">
        <v>9</v>
      </c>
      <c r="C52" t="s">
        <v>17</v>
      </c>
      <c r="D52" t="s">
        <v>65</v>
      </c>
      <c r="E52" t="s">
        <v>12</v>
      </c>
      <c r="F52" t="s">
        <v>24</v>
      </c>
      <c r="G52" t="s">
        <v>14</v>
      </c>
      <c r="H52" t="s">
        <v>28</v>
      </c>
    </row>
    <row r="53" spans="1:8" x14ac:dyDescent="0.3">
      <c r="A53" t="s">
        <v>109</v>
      </c>
      <c r="B53" t="s">
        <v>30</v>
      </c>
      <c r="C53" t="s">
        <v>34</v>
      </c>
      <c r="D53" t="s">
        <v>67</v>
      </c>
      <c r="E53" t="s">
        <v>23</v>
      </c>
      <c r="F53" t="s">
        <v>13</v>
      </c>
      <c r="G53" t="s">
        <v>25</v>
      </c>
      <c r="H53" t="s">
        <v>15</v>
      </c>
    </row>
    <row r="54" spans="1:8" x14ac:dyDescent="0.3">
      <c r="A54" t="s">
        <v>110</v>
      </c>
      <c r="B54" t="s">
        <v>9</v>
      </c>
      <c r="C54" t="s">
        <v>17</v>
      </c>
      <c r="D54" t="s">
        <v>69</v>
      </c>
      <c r="E54" t="s">
        <v>40</v>
      </c>
      <c r="F54" t="s">
        <v>13</v>
      </c>
      <c r="G54" t="s">
        <v>25</v>
      </c>
      <c r="H54" t="s">
        <v>28</v>
      </c>
    </row>
    <row r="55" spans="1:8" x14ac:dyDescent="0.3">
      <c r="A55" t="s">
        <v>111</v>
      </c>
      <c r="B55" t="s">
        <v>30</v>
      </c>
      <c r="C55" t="s">
        <v>17</v>
      </c>
      <c r="D55" t="s">
        <v>72</v>
      </c>
      <c r="E55" t="s">
        <v>19</v>
      </c>
      <c r="F55" t="s">
        <v>13</v>
      </c>
      <c r="G55" t="s">
        <v>20</v>
      </c>
      <c r="H55" t="s">
        <v>28</v>
      </c>
    </row>
    <row r="56" spans="1:8" x14ac:dyDescent="0.3">
      <c r="A56" t="s">
        <v>112</v>
      </c>
      <c r="B56" t="s">
        <v>9</v>
      </c>
      <c r="C56" t="s">
        <v>17</v>
      </c>
      <c r="D56" t="s">
        <v>74</v>
      </c>
      <c r="E56" t="s">
        <v>12</v>
      </c>
      <c r="F56" t="s">
        <v>13</v>
      </c>
      <c r="G56" t="s">
        <v>25</v>
      </c>
      <c r="H56" t="s">
        <v>15</v>
      </c>
    </row>
    <row r="57" spans="1:8" x14ac:dyDescent="0.3">
      <c r="A57" t="s">
        <v>113</v>
      </c>
      <c r="B57" t="s">
        <v>9</v>
      </c>
      <c r="C57" t="s">
        <v>71</v>
      </c>
      <c r="D57" t="s">
        <v>76</v>
      </c>
      <c r="E57" t="s">
        <v>40</v>
      </c>
      <c r="F57" t="s">
        <v>13</v>
      </c>
      <c r="G57" t="s">
        <v>25</v>
      </c>
      <c r="H57" t="s">
        <v>28</v>
      </c>
    </row>
    <row r="58" spans="1:8" x14ac:dyDescent="0.3">
      <c r="A58" t="s">
        <v>114</v>
      </c>
      <c r="B58" t="s">
        <v>30</v>
      </c>
      <c r="C58" t="s">
        <v>48</v>
      </c>
      <c r="D58" t="s">
        <v>78</v>
      </c>
      <c r="E58" t="s">
        <v>12</v>
      </c>
      <c r="F58" t="s">
        <v>13</v>
      </c>
      <c r="G58" t="s">
        <v>20</v>
      </c>
      <c r="H58" t="s">
        <v>28</v>
      </c>
    </row>
    <row r="59" spans="1:8" x14ac:dyDescent="0.3">
      <c r="A59" t="s">
        <v>115</v>
      </c>
      <c r="B59" t="s">
        <v>9</v>
      </c>
      <c r="C59" t="s">
        <v>10</v>
      </c>
      <c r="D59" t="s">
        <v>80</v>
      </c>
      <c r="E59" t="s">
        <v>12</v>
      </c>
      <c r="F59" t="s">
        <v>13</v>
      </c>
      <c r="G59" t="s">
        <v>14</v>
      </c>
      <c r="H59" t="s">
        <v>15</v>
      </c>
    </row>
    <row r="60" spans="1:8" x14ac:dyDescent="0.3">
      <c r="A60" t="s">
        <v>116</v>
      </c>
      <c r="B60" t="s">
        <v>30</v>
      </c>
      <c r="C60" t="s">
        <v>48</v>
      </c>
      <c r="D60" t="s">
        <v>82</v>
      </c>
      <c r="E60" t="s">
        <v>23</v>
      </c>
      <c r="F60" t="s">
        <v>13</v>
      </c>
      <c r="G60" t="s">
        <v>14</v>
      </c>
      <c r="H60" t="s">
        <v>15</v>
      </c>
    </row>
    <row r="61" spans="1:8" x14ac:dyDescent="0.3">
      <c r="A61" t="s">
        <v>117</v>
      </c>
      <c r="B61" t="s">
        <v>30</v>
      </c>
      <c r="C61" t="s">
        <v>34</v>
      </c>
      <c r="D61" t="s">
        <v>84</v>
      </c>
      <c r="E61" t="s">
        <v>12</v>
      </c>
      <c r="F61" t="s">
        <v>24</v>
      </c>
      <c r="G61" t="s">
        <v>20</v>
      </c>
      <c r="H61" t="s">
        <v>28</v>
      </c>
    </row>
    <row r="62" spans="1:8" x14ac:dyDescent="0.3">
      <c r="A62" t="s">
        <v>118</v>
      </c>
      <c r="B62" t="s">
        <v>30</v>
      </c>
      <c r="C62" t="s">
        <v>31</v>
      </c>
      <c r="D62" t="s">
        <v>86</v>
      </c>
      <c r="E62" t="s">
        <v>23</v>
      </c>
      <c r="F62" t="s">
        <v>13</v>
      </c>
      <c r="G62" t="s">
        <v>25</v>
      </c>
      <c r="H62" t="s">
        <v>28</v>
      </c>
    </row>
    <row r="63" spans="1:8" x14ac:dyDescent="0.3">
      <c r="A63" t="s">
        <v>119</v>
      </c>
      <c r="B63" t="s">
        <v>30</v>
      </c>
      <c r="C63" t="s">
        <v>31</v>
      </c>
      <c r="D63" t="s">
        <v>88</v>
      </c>
      <c r="E63" t="s">
        <v>23</v>
      </c>
      <c r="F63" t="s">
        <v>13</v>
      </c>
      <c r="G63" t="s">
        <v>25</v>
      </c>
      <c r="H63" t="s">
        <v>28</v>
      </c>
    </row>
    <row r="64" spans="1:8" x14ac:dyDescent="0.3">
      <c r="A64" t="s">
        <v>120</v>
      </c>
      <c r="B64" t="s">
        <v>9</v>
      </c>
      <c r="C64" t="s">
        <v>10</v>
      </c>
      <c r="D64" t="s">
        <v>11</v>
      </c>
      <c r="E64" t="s">
        <v>23</v>
      </c>
      <c r="F64" t="s">
        <v>13</v>
      </c>
      <c r="G64" t="s">
        <v>25</v>
      </c>
      <c r="H64" t="s">
        <v>15</v>
      </c>
    </row>
    <row r="65" spans="1:8" x14ac:dyDescent="0.3">
      <c r="A65" t="s">
        <v>121</v>
      </c>
      <c r="B65" t="s">
        <v>30</v>
      </c>
      <c r="C65" t="s">
        <v>31</v>
      </c>
      <c r="D65" t="s">
        <v>18</v>
      </c>
      <c r="E65" t="s">
        <v>12</v>
      </c>
      <c r="F65" t="s">
        <v>13</v>
      </c>
      <c r="G65" t="s">
        <v>20</v>
      </c>
      <c r="H65" t="s">
        <v>28</v>
      </c>
    </row>
    <row r="66" spans="1:8" x14ac:dyDescent="0.3">
      <c r="A66" t="s">
        <v>122</v>
      </c>
      <c r="B66" t="s">
        <v>9</v>
      </c>
      <c r="C66" t="s">
        <v>71</v>
      </c>
      <c r="D66" t="s">
        <v>22</v>
      </c>
      <c r="E66" t="s">
        <v>19</v>
      </c>
      <c r="F66" t="s">
        <v>24</v>
      </c>
      <c r="G66" t="s">
        <v>14</v>
      </c>
      <c r="H66" t="s">
        <v>28</v>
      </c>
    </row>
    <row r="67" spans="1:8" x14ac:dyDescent="0.3">
      <c r="A67" t="s">
        <v>123</v>
      </c>
      <c r="B67" t="s">
        <v>30</v>
      </c>
      <c r="C67" t="s">
        <v>17</v>
      </c>
      <c r="D67" t="s">
        <v>27</v>
      </c>
      <c r="E67" t="s">
        <v>23</v>
      </c>
      <c r="F67" t="s">
        <v>13</v>
      </c>
      <c r="G67" t="s">
        <v>14</v>
      </c>
      <c r="H67" t="s">
        <v>15</v>
      </c>
    </row>
    <row r="68" spans="1:8" x14ac:dyDescent="0.3">
      <c r="A68" t="s">
        <v>124</v>
      </c>
      <c r="B68" t="s">
        <v>30</v>
      </c>
      <c r="C68" t="s">
        <v>71</v>
      </c>
      <c r="D68" t="s">
        <v>32</v>
      </c>
      <c r="E68" t="s">
        <v>23</v>
      </c>
      <c r="F68" t="s">
        <v>24</v>
      </c>
      <c r="G68" t="s">
        <v>25</v>
      </c>
      <c r="H68" t="s">
        <v>15</v>
      </c>
    </row>
    <row r="69" spans="1:8" x14ac:dyDescent="0.3">
      <c r="A69" t="s">
        <v>125</v>
      </c>
      <c r="B69" t="s">
        <v>30</v>
      </c>
      <c r="C69" t="s">
        <v>48</v>
      </c>
      <c r="D69" t="s">
        <v>35</v>
      </c>
      <c r="E69" t="s">
        <v>23</v>
      </c>
      <c r="F69" t="s">
        <v>13</v>
      </c>
      <c r="G69" t="s">
        <v>25</v>
      </c>
      <c r="H69" t="s">
        <v>15</v>
      </c>
    </row>
    <row r="70" spans="1:8" x14ac:dyDescent="0.3">
      <c r="A70" t="s">
        <v>126</v>
      </c>
      <c r="B70" t="s">
        <v>9</v>
      </c>
      <c r="C70" t="s">
        <v>34</v>
      </c>
      <c r="D70" t="s">
        <v>37</v>
      </c>
      <c r="E70" t="s">
        <v>23</v>
      </c>
      <c r="F70" t="s">
        <v>13</v>
      </c>
      <c r="G70" t="s">
        <v>25</v>
      </c>
      <c r="H70" t="s">
        <v>15</v>
      </c>
    </row>
    <row r="71" spans="1:8" x14ac:dyDescent="0.3">
      <c r="A71" t="s">
        <v>127</v>
      </c>
      <c r="B71" t="s">
        <v>30</v>
      </c>
      <c r="C71" t="s">
        <v>10</v>
      </c>
      <c r="D71" t="s">
        <v>39</v>
      </c>
      <c r="E71" t="s">
        <v>23</v>
      </c>
      <c r="F71" t="s">
        <v>13</v>
      </c>
      <c r="G71" t="s">
        <v>25</v>
      </c>
      <c r="H71" t="s">
        <v>15</v>
      </c>
    </row>
    <row r="72" spans="1:8" x14ac:dyDescent="0.3">
      <c r="A72" t="s">
        <v>128</v>
      </c>
      <c r="B72" t="s">
        <v>30</v>
      </c>
      <c r="C72" t="s">
        <v>31</v>
      </c>
      <c r="D72" t="s">
        <v>42</v>
      </c>
      <c r="E72" t="s">
        <v>12</v>
      </c>
      <c r="F72" t="s">
        <v>13</v>
      </c>
      <c r="G72" t="s">
        <v>20</v>
      </c>
      <c r="H72" t="s">
        <v>28</v>
      </c>
    </row>
    <row r="73" spans="1:8" x14ac:dyDescent="0.3">
      <c r="A73" t="s">
        <v>129</v>
      </c>
      <c r="B73" t="s">
        <v>9</v>
      </c>
      <c r="C73" t="s">
        <v>31</v>
      </c>
      <c r="D73" t="s">
        <v>44</v>
      </c>
      <c r="E73" t="s">
        <v>19</v>
      </c>
      <c r="F73" t="s">
        <v>24</v>
      </c>
      <c r="G73" t="s">
        <v>14</v>
      </c>
      <c r="H73" t="s">
        <v>28</v>
      </c>
    </row>
    <row r="74" spans="1:8" x14ac:dyDescent="0.3">
      <c r="A74" t="s">
        <v>130</v>
      </c>
      <c r="B74" t="s">
        <v>9</v>
      </c>
      <c r="C74" t="s">
        <v>48</v>
      </c>
      <c r="D74" t="s">
        <v>46</v>
      </c>
      <c r="E74" t="s">
        <v>12</v>
      </c>
      <c r="F74" t="s">
        <v>24</v>
      </c>
      <c r="G74" t="s">
        <v>14</v>
      </c>
      <c r="H74" t="s">
        <v>15</v>
      </c>
    </row>
    <row r="75" spans="1:8" x14ac:dyDescent="0.3">
      <c r="A75" t="s">
        <v>131</v>
      </c>
      <c r="B75" t="s">
        <v>30</v>
      </c>
      <c r="C75" t="s">
        <v>17</v>
      </c>
      <c r="D75" t="s">
        <v>49</v>
      </c>
      <c r="E75" t="s">
        <v>23</v>
      </c>
      <c r="F75" t="s">
        <v>13</v>
      </c>
      <c r="G75" t="s">
        <v>25</v>
      </c>
      <c r="H75" t="s">
        <v>15</v>
      </c>
    </row>
    <row r="76" spans="1:8" x14ac:dyDescent="0.3">
      <c r="A76" t="s">
        <v>132</v>
      </c>
      <c r="B76" t="s">
        <v>30</v>
      </c>
      <c r="C76" t="s">
        <v>71</v>
      </c>
      <c r="D76" t="s">
        <v>51</v>
      </c>
      <c r="E76" t="s">
        <v>40</v>
      </c>
      <c r="F76" t="s">
        <v>13</v>
      </c>
      <c r="G76" t="s">
        <v>14</v>
      </c>
      <c r="H76" t="s">
        <v>28</v>
      </c>
    </row>
    <row r="77" spans="1:8" x14ac:dyDescent="0.3">
      <c r="A77" t="s">
        <v>133</v>
      </c>
      <c r="B77" t="s">
        <v>9</v>
      </c>
      <c r="C77" t="s">
        <v>48</v>
      </c>
      <c r="D77" t="s">
        <v>53</v>
      </c>
      <c r="E77" t="s">
        <v>23</v>
      </c>
      <c r="F77" t="s">
        <v>24</v>
      </c>
      <c r="G77" t="s">
        <v>25</v>
      </c>
      <c r="H77" t="s">
        <v>15</v>
      </c>
    </row>
    <row r="78" spans="1:8" x14ac:dyDescent="0.3">
      <c r="A78" t="s">
        <v>134</v>
      </c>
      <c r="B78" t="s">
        <v>9</v>
      </c>
      <c r="C78" t="s">
        <v>34</v>
      </c>
      <c r="D78" t="s">
        <v>55</v>
      </c>
      <c r="E78" t="s">
        <v>19</v>
      </c>
      <c r="F78" t="s">
        <v>13</v>
      </c>
      <c r="G78" t="s">
        <v>20</v>
      </c>
      <c r="H78" t="s">
        <v>28</v>
      </c>
    </row>
    <row r="79" spans="1:8" x14ac:dyDescent="0.3">
      <c r="A79" t="s">
        <v>135</v>
      </c>
      <c r="B79" t="s">
        <v>30</v>
      </c>
      <c r="C79" t="s">
        <v>34</v>
      </c>
      <c r="D79" t="s">
        <v>57</v>
      </c>
      <c r="E79" t="s">
        <v>23</v>
      </c>
      <c r="F79" t="s">
        <v>24</v>
      </c>
      <c r="G79" t="s">
        <v>25</v>
      </c>
      <c r="H79" t="s">
        <v>28</v>
      </c>
    </row>
    <row r="80" spans="1:8" x14ac:dyDescent="0.3">
      <c r="A80" t="s">
        <v>136</v>
      </c>
      <c r="B80" t="s">
        <v>9</v>
      </c>
      <c r="C80" t="s">
        <v>10</v>
      </c>
      <c r="D80" t="s">
        <v>59</v>
      </c>
      <c r="E80" t="s">
        <v>12</v>
      </c>
      <c r="F80" t="s">
        <v>13</v>
      </c>
      <c r="G80" t="s">
        <v>25</v>
      </c>
      <c r="H80" t="s">
        <v>15</v>
      </c>
    </row>
    <row r="81" spans="1:8" x14ac:dyDescent="0.3">
      <c r="A81" t="s">
        <v>137</v>
      </c>
      <c r="B81" t="s">
        <v>30</v>
      </c>
      <c r="C81" t="s">
        <v>10</v>
      </c>
      <c r="D81" t="s">
        <v>61</v>
      </c>
      <c r="E81" t="s">
        <v>23</v>
      </c>
      <c r="F81" t="s">
        <v>24</v>
      </c>
      <c r="G81" t="s">
        <v>25</v>
      </c>
      <c r="H81" t="s">
        <v>15</v>
      </c>
    </row>
    <row r="82" spans="1:8" x14ac:dyDescent="0.3">
      <c r="A82" t="s">
        <v>138</v>
      </c>
      <c r="B82" t="s">
        <v>9</v>
      </c>
      <c r="C82" t="s">
        <v>71</v>
      </c>
      <c r="D82" t="s">
        <v>63</v>
      </c>
      <c r="E82" t="s">
        <v>19</v>
      </c>
      <c r="F82" t="s">
        <v>24</v>
      </c>
      <c r="G82" t="s">
        <v>20</v>
      </c>
      <c r="H82" t="s">
        <v>15</v>
      </c>
    </row>
    <row r="83" spans="1:8" x14ac:dyDescent="0.3">
      <c r="A83" t="s">
        <v>139</v>
      </c>
      <c r="B83" t="s">
        <v>9</v>
      </c>
      <c r="C83" t="s">
        <v>48</v>
      </c>
      <c r="D83" t="s">
        <v>65</v>
      </c>
      <c r="E83" t="s">
        <v>40</v>
      </c>
      <c r="F83" t="s">
        <v>24</v>
      </c>
      <c r="G83" t="s">
        <v>25</v>
      </c>
      <c r="H83" t="s">
        <v>15</v>
      </c>
    </row>
    <row r="84" spans="1:8" x14ac:dyDescent="0.3">
      <c r="A84" t="s">
        <v>140</v>
      </c>
      <c r="B84" t="s">
        <v>9</v>
      </c>
      <c r="C84" t="s">
        <v>10</v>
      </c>
      <c r="D84" t="s">
        <v>67</v>
      </c>
      <c r="E84" t="s">
        <v>19</v>
      </c>
      <c r="F84" t="s">
        <v>24</v>
      </c>
      <c r="G84" t="s">
        <v>25</v>
      </c>
      <c r="H84" t="s">
        <v>28</v>
      </c>
    </row>
    <row r="85" spans="1:8" x14ac:dyDescent="0.3">
      <c r="A85" t="s">
        <v>141</v>
      </c>
      <c r="B85" t="s">
        <v>9</v>
      </c>
      <c r="C85" t="s">
        <v>48</v>
      </c>
      <c r="D85" t="s">
        <v>69</v>
      </c>
      <c r="E85" t="s">
        <v>12</v>
      </c>
      <c r="F85" t="s">
        <v>24</v>
      </c>
      <c r="G85" t="s">
        <v>20</v>
      </c>
      <c r="H85" t="s">
        <v>15</v>
      </c>
    </row>
    <row r="86" spans="1:8" x14ac:dyDescent="0.3">
      <c r="A86" t="s">
        <v>142</v>
      </c>
      <c r="B86" t="s">
        <v>9</v>
      </c>
      <c r="C86" t="s">
        <v>31</v>
      </c>
      <c r="D86" t="s">
        <v>72</v>
      </c>
      <c r="E86" t="s">
        <v>19</v>
      </c>
      <c r="F86" t="s">
        <v>13</v>
      </c>
      <c r="G86" t="s">
        <v>20</v>
      </c>
      <c r="H86" t="s">
        <v>15</v>
      </c>
    </row>
    <row r="87" spans="1:8" x14ac:dyDescent="0.3">
      <c r="A87" t="s">
        <v>143</v>
      </c>
      <c r="B87" t="s">
        <v>30</v>
      </c>
      <c r="C87" t="s">
        <v>71</v>
      </c>
      <c r="D87" t="s">
        <v>74</v>
      </c>
      <c r="E87" t="s">
        <v>19</v>
      </c>
      <c r="F87" t="s">
        <v>24</v>
      </c>
      <c r="G87" t="s">
        <v>20</v>
      </c>
      <c r="H87" t="s">
        <v>28</v>
      </c>
    </row>
    <row r="88" spans="1:8" x14ac:dyDescent="0.3">
      <c r="A88" t="s">
        <v>144</v>
      </c>
      <c r="B88" t="s">
        <v>9</v>
      </c>
      <c r="C88" t="s">
        <v>31</v>
      </c>
      <c r="D88" t="s">
        <v>76</v>
      </c>
      <c r="E88" t="s">
        <v>19</v>
      </c>
      <c r="F88" t="s">
        <v>13</v>
      </c>
      <c r="G88" t="s">
        <v>25</v>
      </c>
      <c r="H88" t="s">
        <v>28</v>
      </c>
    </row>
    <row r="89" spans="1:8" x14ac:dyDescent="0.3">
      <c r="A89" t="s">
        <v>145</v>
      </c>
      <c r="B89" t="s">
        <v>9</v>
      </c>
      <c r="C89" t="s">
        <v>34</v>
      </c>
      <c r="D89" t="s">
        <v>78</v>
      </c>
      <c r="E89" t="s">
        <v>19</v>
      </c>
      <c r="F89" t="s">
        <v>24</v>
      </c>
      <c r="G89" t="s">
        <v>25</v>
      </c>
      <c r="H89" t="s">
        <v>15</v>
      </c>
    </row>
    <row r="90" spans="1:8" x14ac:dyDescent="0.3">
      <c r="A90" t="s">
        <v>146</v>
      </c>
      <c r="B90" t="s">
        <v>9</v>
      </c>
      <c r="C90" t="s">
        <v>10</v>
      </c>
      <c r="D90" t="s">
        <v>80</v>
      </c>
      <c r="E90" t="s">
        <v>19</v>
      </c>
      <c r="F90" t="s">
        <v>24</v>
      </c>
      <c r="G90" t="s">
        <v>25</v>
      </c>
      <c r="H90" t="s">
        <v>28</v>
      </c>
    </row>
    <row r="91" spans="1:8" x14ac:dyDescent="0.3">
      <c r="A91" t="s">
        <v>147</v>
      </c>
      <c r="B91" t="s">
        <v>9</v>
      </c>
      <c r="C91" t="s">
        <v>34</v>
      </c>
      <c r="D91" t="s">
        <v>82</v>
      </c>
      <c r="E91" t="s">
        <v>23</v>
      </c>
      <c r="F91" t="s">
        <v>24</v>
      </c>
      <c r="G91" t="s">
        <v>25</v>
      </c>
      <c r="H91" t="s">
        <v>15</v>
      </c>
    </row>
    <row r="92" spans="1:8" x14ac:dyDescent="0.3">
      <c r="A92" t="s">
        <v>148</v>
      </c>
      <c r="B92" t="s">
        <v>30</v>
      </c>
      <c r="C92" t="s">
        <v>17</v>
      </c>
      <c r="D92" t="s">
        <v>84</v>
      </c>
      <c r="E92" t="s">
        <v>40</v>
      </c>
      <c r="F92" t="s">
        <v>24</v>
      </c>
      <c r="G92" t="s">
        <v>14</v>
      </c>
      <c r="H92" t="s">
        <v>28</v>
      </c>
    </row>
    <row r="93" spans="1:8" x14ac:dyDescent="0.3">
      <c r="A93" t="s">
        <v>149</v>
      </c>
      <c r="B93" t="s">
        <v>9</v>
      </c>
      <c r="C93" t="s">
        <v>71</v>
      </c>
      <c r="D93" t="s">
        <v>86</v>
      </c>
      <c r="E93" t="s">
        <v>40</v>
      </c>
      <c r="F93" t="s">
        <v>24</v>
      </c>
      <c r="G93" t="s">
        <v>20</v>
      </c>
      <c r="H93" t="s">
        <v>15</v>
      </c>
    </row>
    <row r="94" spans="1:8" x14ac:dyDescent="0.3">
      <c r="A94" t="s">
        <v>150</v>
      </c>
      <c r="B94" t="s">
        <v>30</v>
      </c>
      <c r="C94" t="s">
        <v>48</v>
      </c>
      <c r="D94" t="s">
        <v>88</v>
      </c>
      <c r="E94" t="s">
        <v>23</v>
      </c>
      <c r="F94" t="s">
        <v>24</v>
      </c>
      <c r="G94" t="s">
        <v>25</v>
      </c>
      <c r="H94" t="s">
        <v>15</v>
      </c>
    </row>
    <row r="95" spans="1:8" x14ac:dyDescent="0.3">
      <c r="A95" t="s">
        <v>151</v>
      </c>
      <c r="B95" t="s">
        <v>30</v>
      </c>
      <c r="C95" t="s">
        <v>17</v>
      </c>
      <c r="D95" t="s">
        <v>11</v>
      </c>
      <c r="E95" t="s">
        <v>23</v>
      </c>
      <c r="F95" t="s">
        <v>24</v>
      </c>
      <c r="G95" t="s">
        <v>25</v>
      </c>
      <c r="H95" t="s">
        <v>15</v>
      </c>
    </row>
    <row r="96" spans="1:8" x14ac:dyDescent="0.3">
      <c r="A96" t="s">
        <v>152</v>
      </c>
      <c r="B96" t="s">
        <v>9</v>
      </c>
      <c r="C96" t="s">
        <v>34</v>
      </c>
      <c r="D96" t="s">
        <v>18</v>
      </c>
      <c r="E96" t="s">
        <v>19</v>
      </c>
      <c r="F96" t="s">
        <v>13</v>
      </c>
      <c r="G96" t="s">
        <v>25</v>
      </c>
      <c r="H96" t="s">
        <v>28</v>
      </c>
    </row>
    <row r="97" spans="1:8" x14ac:dyDescent="0.3">
      <c r="A97" t="s">
        <v>153</v>
      </c>
      <c r="B97" t="s">
        <v>9</v>
      </c>
      <c r="C97" t="s">
        <v>71</v>
      </c>
      <c r="D97" t="s">
        <v>22</v>
      </c>
      <c r="E97" t="s">
        <v>23</v>
      </c>
      <c r="F97" t="s">
        <v>24</v>
      </c>
      <c r="G97" t="s">
        <v>14</v>
      </c>
      <c r="H97" t="s">
        <v>15</v>
      </c>
    </row>
    <row r="98" spans="1:8" x14ac:dyDescent="0.3">
      <c r="A98" t="s">
        <v>154</v>
      </c>
      <c r="B98" t="s">
        <v>9</v>
      </c>
      <c r="C98" t="s">
        <v>10</v>
      </c>
      <c r="D98" t="s">
        <v>27</v>
      </c>
      <c r="E98" t="s">
        <v>23</v>
      </c>
      <c r="F98" t="s">
        <v>13</v>
      </c>
      <c r="G98" t="s">
        <v>25</v>
      </c>
      <c r="H98" t="s">
        <v>15</v>
      </c>
    </row>
    <row r="99" spans="1:8" x14ac:dyDescent="0.3">
      <c r="A99" t="s">
        <v>155</v>
      </c>
      <c r="B99" t="s">
        <v>9</v>
      </c>
      <c r="C99" t="s">
        <v>71</v>
      </c>
      <c r="D99" t="s">
        <v>32</v>
      </c>
      <c r="E99" t="s">
        <v>40</v>
      </c>
      <c r="F99" t="s">
        <v>13</v>
      </c>
      <c r="G99" t="s">
        <v>25</v>
      </c>
      <c r="H99" t="s">
        <v>15</v>
      </c>
    </row>
    <row r="100" spans="1:8" x14ac:dyDescent="0.3">
      <c r="A100" t="s">
        <v>156</v>
      </c>
      <c r="B100" t="s">
        <v>9</v>
      </c>
      <c r="C100" t="s">
        <v>48</v>
      </c>
      <c r="D100" t="s">
        <v>35</v>
      </c>
      <c r="E100" t="s">
        <v>23</v>
      </c>
      <c r="F100" t="s">
        <v>24</v>
      </c>
      <c r="G100" t="s">
        <v>14</v>
      </c>
      <c r="H100" t="s">
        <v>15</v>
      </c>
    </row>
    <row r="101" spans="1:8" x14ac:dyDescent="0.3">
      <c r="A101" t="s">
        <v>157</v>
      </c>
      <c r="B101" t="s">
        <v>9</v>
      </c>
      <c r="C101" t="s">
        <v>34</v>
      </c>
      <c r="D101" t="s">
        <v>37</v>
      </c>
      <c r="E101" t="s">
        <v>19</v>
      </c>
      <c r="F101" t="s">
        <v>13</v>
      </c>
      <c r="G101" t="s">
        <v>20</v>
      </c>
      <c r="H101" t="s">
        <v>28</v>
      </c>
    </row>
    <row r="102" spans="1:8" x14ac:dyDescent="0.3">
      <c r="A102" t="s">
        <v>158</v>
      </c>
      <c r="B102" t="s">
        <v>30</v>
      </c>
      <c r="C102" t="s">
        <v>17</v>
      </c>
      <c r="D102" t="s">
        <v>39</v>
      </c>
      <c r="E102" t="s">
        <v>23</v>
      </c>
      <c r="F102" t="s">
        <v>24</v>
      </c>
      <c r="G102" t="s">
        <v>25</v>
      </c>
      <c r="H102" t="s">
        <v>28</v>
      </c>
    </row>
    <row r="103" spans="1:8" x14ac:dyDescent="0.3">
      <c r="A103" t="s">
        <v>159</v>
      </c>
      <c r="B103" t="s">
        <v>9</v>
      </c>
      <c r="C103" t="s">
        <v>48</v>
      </c>
      <c r="D103" t="s">
        <v>42</v>
      </c>
      <c r="E103" t="s">
        <v>12</v>
      </c>
      <c r="F103" t="s">
        <v>24</v>
      </c>
      <c r="G103" t="s">
        <v>14</v>
      </c>
      <c r="H103" t="s">
        <v>15</v>
      </c>
    </row>
    <row r="104" spans="1:8" x14ac:dyDescent="0.3">
      <c r="A104" t="s">
        <v>160</v>
      </c>
      <c r="B104" t="s">
        <v>9</v>
      </c>
      <c r="C104" t="s">
        <v>71</v>
      </c>
      <c r="D104" t="s">
        <v>44</v>
      </c>
      <c r="E104" t="s">
        <v>23</v>
      </c>
      <c r="F104" t="s">
        <v>24</v>
      </c>
      <c r="G104" t="s">
        <v>25</v>
      </c>
      <c r="H104" t="s">
        <v>15</v>
      </c>
    </row>
    <row r="105" spans="1:8" x14ac:dyDescent="0.3">
      <c r="A105" t="s">
        <v>161</v>
      </c>
      <c r="B105" t="s">
        <v>30</v>
      </c>
      <c r="C105" t="s">
        <v>71</v>
      </c>
      <c r="D105" t="s">
        <v>46</v>
      </c>
      <c r="E105" t="s">
        <v>23</v>
      </c>
      <c r="F105" t="s">
        <v>24</v>
      </c>
      <c r="G105" t="s">
        <v>25</v>
      </c>
      <c r="H105" t="s">
        <v>15</v>
      </c>
    </row>
    <row r="106" spans="1:8" x14ac:dyDescent="0.3">
      <c r="A106" t="s">
        <v>162</v>
      </c>
      <c r="B106" t="s">
        <v>30</v>
      </c>
      <c r="C106" t="s">
        <v>48</v>
      </c>
      <c r="D106" t="s">
        <v>49</v>
      </c>
      <c r="E106" t="s">
        <v>23</v>
      </c>
      <c r="F106" t="s">
        <v>13</v>
      </c>
      <c r="G106" t="s">
        <v>14</v>
      </c>
      <c r="H106" t="s">
        <v>28</v>
      </c>
    </row>
    <row r="107" spans="1:8" x14ac:dyDescent="0.3">
      <c r="A107" t="s">
        <v>163</v>
      </c>
      <c r="B107" t="s">
        <v>30</v>
      </c>
      <c r="C107" t="s">
        <v>10</v>
      </c>
      <c r="D107" t="s">
        <v>51</v>
      </c>
      <c r="E107" t="s">
        <v>40</v>
      </c>
      <c r="F107" t="s">
        <v>13</v>
      </c>
      <c r="G107" t="s">
        <v>14</v>
      </c>
      <c r="H107" t="s">
        <v>28</v>
      </c>
    </row>
    <row r="108" spans="1:8" x14ac:dyDescent="0.3">
      <c r="A108" t="s">
        <v>164</v>
      </c>
      <c r="B108" t="s">
        <v>9</v>
      </c>
      <c r="C108" t="s">
        <v>48</v>
      </c>
      <c r="D108" t="s">
        <v>53</v>
      </c>
      <c r="E108" t="s">
        <v>40</v>
      </c>
      <c r="F108" t="s">
        <v>13</v>
      </c>
      <c r="G108" t="s">
        <v>14</v>
      </c>
      <c r="H108" t="s">
        <v>15</v>
      </c>
    </row>
    <row r="109" spans="1:8" x14ac:dyDescent="0.3">
      <c r="A109" t="s">
        <v>165</v>
      </c>
      <c r="B109" t="s">
        <v>30</v>
      </c>
      <c r="C109" t="s">
        <v>48</v>
      </c>
      <c r="D109" t="s">
        <v>55</v>
      </c>
      <c r="E109" t="s">
        <v>23</v>
      </c>
      <c r="F109" t="s">
        <v>13</v>
      </c>
      <c r="G109" t="s">
        <v>25</v>
      </c>
      <c r="H109" t="s">
        <v>15</v>
      </c>
    </row>
    <row r="110" spans="1:8" x14ac:dyDescent="0.3">
      <c r="A110" t="s">
        <v>166</v>
      </c>
      <c r="B110" t="s">
        <v>9</v>
      </c>
      <c r="C110" t="s">
        <v>31</v>
      </c>
      <c r="D110" t="s">
        <v>57</v>
      </c>
      <c r="E110" t="s">
        <v>19</v>
      </c>
      <c r="F110" t="s">
        <v>24</v>
      </c>
      <c r="G110" t="s">
        <v>14</v>
      </c>
      <c r="H110" t="s">
        <v>28</v>
      </c>
    </row>
    <row r="111" spans="1:8" x14ac:dyDescent="0.3">
      <c r="A111" t="s">
        <v>167</v>
      </c>
      <c r="B111" t="s">
        <v>9</v>
      </c>
      <c r="C111" t="s">
        <v>10</v>
      </c>
      <c r="D111" t="s">
        <v>59</v>
      </c>
      <c r="E111" t="s">
        <v>23</v>
      </c>
      <c r="F111" t="s">
        <v>24</v>
      </c>
      <c r="G111" t="s">
        <v>25</v>
      </c>
      <c r="H111" t="s">
        <v>15</v>
      </c>
    </row>
    <row r="112" spans="1:8" x14ac:dyDescent="0.3">
      <c r="A112" t="s">
        <v>168</v>
      </c>
      <c r="B112" t="s">
        <v>9</v>
      </c>
      <c r="C112" t="s">
        <v>31</v>
      </c>
      <c r="D112" t="s">
        <v>61</v>
      </c>
      <c r="E112" t="s">
        <v>12</v>
      </c>
      <c r="F112" t="s">
        <v>13</v>
      </c>
      <c r="G112" t="s">
        <v>25</v>
      </c>
      <c r="H112" t="s">
        <v>15</v>
      </c>
    </row>
    <row r="113" spans="1:8" x14ac:dyDescent="0.3">
      <c r="A113" t="s">
        <v>169</v>
      </c>
      <c r="B113" t="s">
        <v>30</v>
      </c>
      <c r="C113" t="s">
        <v>17</v>
      </c>
      <c r="D113" t="s">
        <v>63</v>
      </c>
      <c r="E113" t="s">
        <v>40</v>
      </c>
      <c r="F113" t="s">
        <v>24</v>
      </c>
      <c r="G113" t="s">
        <v>20</v>
      </c>
      <c r="H113" t="s">
        <v>28</v>
      </c>
    </row>
    <row r="114" spans="1:8" x14ac:dyDescent="0.3">
      <c r="A114" t="s">
        <v>170</v>
      </c>
      <c r="B114" t="s">
        <v>30</v>
      </c>
      <c r="C114" t="s">
        <v>34</v>
      </c>
      <c r="D114" t="s">
        <v>65</v>
      </c>
      <c r="E114" t="s">
        <v>12</v>
      </c>
      <c r="F114" t="s">
        <v>13</v>
      </c>
      <c r="G114" t="s">
        <v>14</v>
      </c>
      <c r="H114" t="s">
        <v>28</v>
      </c>
    </row>
    <row r="115" spans="1:8" x14ac:dyDescent="0.3">
      <c r="A115" t="s">
        <v>171</v>
      </c>
      <c r="B115" t="s">
        <v>30</v>
      </c>
      <c r="C115" t="s">
        <v>34</v>
      </c>
      <c r="D115" t="s">
        <v>67</v>
      </c>
      <c r="E115" t="s">
        <v>23</v>
      </c>
      <c r="F115" t="s">
        <v>13</v>
      </c>
      <c r="G115" t="s">
        <v>14</v>
      </c>
      <c r="H115" t="s">
        <v>28</v>
      </c>
    </row>
    <row r="116" spans="1:8" x14ac:dyDescent="0.3">
      <c r="A116" t="s">
        <v>172</v>
      </c>
      <c r="B116" t="s">
        <v>9</v>
      </c>
      <c r="C116" t="s">
        <v>71</v>
      </c>
      <c r="D116" t="s">
        <v>69</v>
      </c>
      <c r="E116" t="s">
        <v>40</v>
      </c>
      <c r="F116" t="s">
        <v>24</v>
      </c>
      <c r="G116" t="s">
        <v>25</v>
      </c>
      <c r="H116" t="s">
        <v>28</v>
      </c>
    </row>
    <row r="117" spans="1:8" x14ac:dyDescent="0.3">
      <c r="A117" t="s">
        <v>173</v>
      </c>
      <c r="B117" t="s">
        <v>30</v>
      </c>
      <c r="C117" t="s">
        <v>10</v>
      </c>
      <c r="D117" t="s">
        <v>72</v>
      </c>
      <c r="E117" t="s">
        <v>23</v>
      </c>
      <c r="F117" t="s">
        <v>13</v>
      </c>
      <c r="G117" t="s">
        <v>14</v>
      </c>
      <c r="H117" t="s">
        <v>15</v>
      </c>
    </row>
    <row r="118" spans="1:8" x14ac:dyDescent="0.3">
      <c r="A118" t="s">
        <v>174</v>
      </c>
      <c r="B118" t="s">
        <v>9</v>
      </c>
      <c r="C118" t="s">
        <v>10</v>
      </c>
      <c r="D118" t="s">
        <v>74</v>
      </c>
      <c r="E118" t="s">
        <v>40</v>
      </c>
      <c r="F118" t="s">
        <v>24</v>
      </c>
      <c r="G118" t="s">
        <v>14</v>
      </c>
      <c r="H118" t="s">
        <v>15</v>
      </c>
    </row>
    <row r="119" spans="1:8" x14ac:dyDescent="0.3">
      <c r="A119" t="s">
        <v>175</v>
      </c>
      <c r="B119" t="s">
        <v>9</v>
      </c>
      <c r="C119" t="s">
        <v>71</v>
      </c>
      <c r="D119" t="s">
        <v>76</v>
      </c>
      <c r="E119" t="s">
        <v>23</v>
      </c>
      <c r="F119" t="s">
        <v>24</v>
      </c>
      <c r="G119" t="s">
        <v>14</v>
      </c>
      <c r="H119" t="s">
        <v>15</v>
      </c>
    </row>
    <row r="120" spans="1:8" x14ac:dyDescent="0.3">
      <c r="A120" t="s">
        <v>176</v>
      </c>
      <c r="B120" t="s">
        <v>9</v>
      </c>
      <c r="C120" t="s">
        <v>34</v>
      </c>
      <c r="D120" t="s">
        <v>78</v>
      </c>
      <c r="E120" t="s">
        <v>40</v>
      </c>
      <c r="F120" t="s">
        <v>13</v>
      </c>
      <c r="G120" t="s">
        <v>20</v>
      </c>
      <c r="H120" t="s">
        <v>15</v>
      </c>
    </row>
    <row r="121" spans="1:8" x14ac:dyDescent="0.3">
      <c r="A121" t="s">
        <v>177</v>
      </c>
      <c r="B121" t="s">
        <v>30</v>
      </c>
      <c r="C121" t="s">
        <v>10</v>
      </c>
      <c r="D121" t="s">
        <v>80</v>
      </c>
      <c r="E121" t="s">
        <v>23</v>
      </c>
      <c r="F121" t="s">
        <v>24</v>
      </c>
      <c r="G121" t="s">
        <v>14</v>
      </c>
      <c r="H121" t="s">
        <v>15</v>
      </c>
    </row>
    <row r="122" spans="1:8" x14ac:dyDescent="0.3">
      <c r="A122" t="s">
        <v>178</v>
      </c>
      <c r="B122" t="s">
        <v>9</v>
      </c>
      <c r="C122" t="s">
        <v>10</v>
      </c>
      <c r="D122" t="s">
        <v>82</v>
      </c>
      <c r="E122" t="s">
        <v>19</v>
      </c>
      <c r="F122" t="s">
        <v>24</v>
      </c>
      <c r="G122" t="s">
        <v>20</v>
      </c>
      <c r="H122" t="s">
        <v>28</v>
      </c>
    </row>
    <row r="123" spans="1:8" x14ac:dyDescent="0.3">
      <c r="A123" t="s">
        <v>179</v>
      </c>
      <c r="B123" t="s">
        <v>30</v>
      </c>
      <c r="C123" t="s">
        <v>31</v>
      </c>
      <c r="D123" t="s">
        <v>84</v>
      </c>
      <c r="E123" t="s">
        <v>23</v>
      </c>
      <c r="F123" t="s">
        <v>13</v>
      </c>
      <c r="G123" t="s">
        <v>25</v>
      </c>
      <c r="H123" t="s">
        <v>15</v>
      </c>
    </row>
    <row r="124" spans="1:8" x14ac:dyDescent="0.3">
      <c r="A124" t="s">
        <v>180</v>
      </c>
      <c r="B124" t="s">
        <v>9</v>
      </c>
      <c r="C124" t="s">
        <v>17</v>
      </c>
      <c r="D124" t="s">
        <v>86</v>
      </c>
      <c r="E124" t="s">
        <v>23</v>
      </c>
      <c r="F124" t="s">
        <v>13</v>
      </c>
      <c r="G124" t="s">
        <v>14</v>
      </c>
      <c r="H124" t="s">
        <v>15</v>
      </c>
    </row>
    <row r="125" spans="1:8" x14ac:dyDescent="0.3">
      <c r="A125" t="s">
        <v>181</v>
      </c>
      <c r="B125" t="s">
        <v>30</v>
      </c>
      <c r="C125" t="s">
        <v>10</v>
      </c>
      <c r="D125" t="s">
        <v>88</v>
      </c>
      <c r="E125" t="s">
        <v>23</v>
      </c>
      <c r="F125" t="s">
        <v>13</v>
      </c>
      <c r="G125" t="s">
        <v>25</v>
      </c>
      <c r="H125" t="s">
        <v>15</v>
      </c>
    </row>
    <row r="126" spans="1:8" x14ac:dyDescent="0.3">
      <c r="A126" t="s">
        <v>182</v>
      </c>
      <c r="B126" t="s">
        <v>9</v>
      </c>
      <c r="C126" t="s">
        <v>31</v>
      </c>
      <c r="D126" t="s">
        <v>11</v>
      </c>
      <c r="E126" t="s">
        <v>40</v>
      </c>
      <c r="F126" t="s">
        <v>24</v>
      </c>
      <c r="G126" t="s">
        <v>14</v>
      </c>
      <c r="H126" t="s">
        <v>15</v>
      </c>
    </row>
    <row r="127" spans="1:8" x14ac:dyDescent="0.3">
      <c r="A127" t="s">
        <v>183</v>
      </c>
      <c r="B127" t="s">
        <v>30</v>
      </c>
      <c r="C127" t="s">
        <v>10</v>
      </c>
      <c r="D127" t="s">
        <v>18</v>
      </c>
      <c r="E127" t="s">
        <v>23</v>
      </c>
      <c r="F127" t="s">
        <v>24</v>
      </c>
      <c r="G127" t="s">
        <v>25</v>
      </c>
      <c r="H127" t="s">
        <v>28</v>
      </c>
    </row>
    <row r="128" spans="1:8" x14ac:dyDescent="0.3">
      <c r="A128" t="s">
        <v>184</v>
      </c>
      <c r="B128" t="s">
        <v>30</v>
      </c>
      <c r="C128" t="s">
        <v>31</v>
      </c>
      <c r="D128" t="s">
        <v>22</v>
      </c>
      <c r="E128" t="s">
        <v>23</v>
      </c>
      <c r="F128" t="s">
        <v>13</v>
      </c>
      <c r="G128" t="s">
        <v>25</v>
      </c>
      <c r="H128" t="s">
        <v>15</v>
      </c>
    </row>
    <row r="129" spans="1:8" x14ac:dyDescent="0.3">
      <c r="A129" t="s">
        <v>185</v>
      </c>
      <c r="B129" t="s">
        <v>30</v>
      </c>
      <c r="C129" t="s">
        <v>10</v>
      </c>
      <c r="D129" t="s">
        <v>27</v>
      </c>
      <c r="E129" t="s">
        <v>23</v>
      </c>
      <c r="F129" t="s">
        <v>24</v>
      </c>
      <c r="G129" t="s">
        <v>25</v>
      </c>
      <c r="H129" t="s">
        <v>28</v>
      </c>
    </row>
    <row r="130" spans="1:8" x14ac:dyDescent="0.3">
      <c r="A130" t="s">
        <v>186</v>
      </c>
      <c r="B130" t="s">
        <v>9</v>
      </c>
      <c r="C130" t="s">
        <v>10</v>
      </c>
      <c r="D130" t="s">
        <v>32</v>
      </c>
      <c r="E130" t="s">
        <v>19</v>
      </c>
      <c r="F130" t="s">
        <v>24</v>
      </c>
      <c r="G130" t="s">
        <v>25</v>
      </c>
      <c r="H130" t="s">
        <v>15</v>
      </c>
    </row>
    <row r="131" spans="1:8" x14ac:dyDescent="0.3">
      <c r="A131" t="s">
        <v>187</v>
      </c>
      <c r="B131" t="s">
        <v>9</v>
      </c>
      <c r="C131" t="s">
        <v>34</v>
      </c>
      <c r="D131" t="s">
        <v>35</v>
      </c>
      <c r="E131" t="s">
        <v>19</v>
      </c>
      <c r="F131" t="s">
        <v>24</v>
      </c>
      <c r="G131" t="s">
        <v>25</v>
      </c>
      <c r="H131" t="s">
        <v>28</v>
      </c>
    </row>
    <row r="132" spans="1:8" x14ac:dyDescent="0.3">
      <c r="A132" t="s">
        <v>188</v>
      </c>
      <c r="B132" t="s">
        <v>30</v>
      </c>
      <c r="C132" t="s">
        <v>71</v>
      </c>
      <c r="D132" t="s">
        <v>37</v>
      </c>
      <c r="E132" t="s">
        <v>23</v>
      </c>
      <c r="F132" t="s">
        <v>24</v>
      </c>
      <c r="G132" t="s">
        <v>25</v>
      </c>
      <c r="H132" t="s">
        <v>28</v>
      </c>
    </row>
    <row r="133" spans="1:8" x14ac:dyDescent="0.3">
      <c r="A133" t="s">
        <v>189</v>
      </c>
      <c r="B133" t="s">
        <v>30</v>
      </c>
      <c r="C133" t="s">
        <v>34</v>
      </c>
      <c r="D133" t="s">
        <v>39</v>
      </c>
      <c r="E133" t="s">
        <v>23</v>
      </c>
      <c r="F133" t="s">
        <v>24</v>
      </c>
      <c r="G133" t="s">
        <v>14</v>
      </c>
      <c r="H133" t="s">
        <v>15</v>
      </c>
    </row>
    <row r="134" spans="1:8" x14ac:dyDescent="0.3">
      <c r="A134" t="s">
        <v>190</v>
      </c>
      <c r="B134" t="s">
        <v>30</v>
      </c>
      <c r="C134" t="s">
        <v>71</v>
      </c>
      <c r="D134" t="s">
        <v>42</v>
      </c>
      <c r="E134" t="s">
        <v>23</v>
      </c>
      <c r="F134" t="s">
        <v>13</v>
      </c>
      <c r="G134" t="s">
        <v>25</v>
      </c>
      <c r="H134" t="s">
        <v>15</v>
      </c>
    </row>
    <row r="135" spans="1:8" x14ac:dyDescent="0.3">
      <c r="A135" t="s">
        <v>191</v>
      </c>
      <c r="B135" t="s">
        <v>9</v>
      </c>
      <c r="C135" t="s">
        <v>17</v>
      </c>
      <c r="D135" t="s">
        <v>44</v>
      </c>
      <c r="E135" t="s">
        <v>23</v>
      </c>
      <c r="F135" t="s">
        <v>13</v>
      </c>
      <c r="G135" t="s">
        <v>14</v>
      </c>
      <c r="H135" t="s">
        <v>15</v>
      </c>
    </row>
    <row r="136" spans="1:8" x14ac:dyDescent="0.3">
      <c r="A136" t="s">
        <v>192</v>
      </c>
      <c r="B136" t="s">
        <v>9</v>
      </c>
      <c r="C136" t="s">
        <v>34</v>
      </c>
      <c r="D136" t="s">
        <v>46</v>
      </c>
      <c r="E136" t="s">
        <v>19</v>
      </c>
      <c r="F136" t="s">
        <v>24</v>
      </c>
      <c r="G136" t="s">
        <v>25</v>
      </c>
      <c r="H136" t="s">
        <v>28</v>
      </c>
    </row>
    <row r="137" spans="1:8" x14ac:dyDescent="0.3">
      <c r="A137" t="s">
        <v>193</v>
      </c>
      <c r="B137" t="s">
        <v>9</v>
      </c>
      <c r="C137" t="s">
        <v>17</v>
      </c>
      <c r="D137" t="s">
        <v>49</v>
      </c>
      <c r="E137" t="s">
        <v>19</v>
      </c>
      <c r="F137" t="s">
        <v>24</v>
      </c>
      <c r="G137" t="s">
        <v>14</v>
      </c>
      <c r="H137" t="s">
        <v>15</v>
      </c>
    </row>
    <row r="138" spans="1:8" x14ac:dyDescent="0.3">
      <c r="A138" t="s">
        <v>194</v>
      </c>
      <c r="B138" t="s">
        <v>30</v>
      </c>
      <c r="C138" t="s">
        <v>71</v>
      </c>
      <c r="D138" t="s">
        <v>51</v>
      </c>
      <c r="E138" t="s">
        <v>23</v>
      </c>
      <c r="F138" t="s">
        <v>24</v>
      </c>
      <c r="G138" t="s">
        <v>14</v>
      </c>
      <c r="H138" t="s">
        <v>15</v>
      </c>
    </row>
    <row r="139" spans="1:8" x14ac:dyDescent="0.3">
      <c r="A139" t="s">
        <v>195</v>
      </c>
      <c r="B139" t="s">
        <v>30</v>
      </c>
      <c r="C139" t="s">
        <v>31</v>
      </c>
      <c r="D139" t="s">
        <v>53</v>
      </c>
      <c r="E139" t="s">
        <v>23</v>
      </c>
      <c r="F139" t="s">
        <v>13</v>
      </c>
      <c r="G139" t="s">
        <v>25</v>
      </c>
      <c r="H139" t="s">
        <v>15</v>
      </c>
    </row>
    <row r="140" spans="1:8" x14ac:dyDescent="0.3">
      <c r="A140" t="s">
        <v>196</v>
      </c>
      <c r="B140" t="s">
        <v>9</v>
      </c>
      <c r="C140" t="s">
        <v>31</v>
      </c>
      <c r="D140" t="s">
        <v>55</v>
      </c>
      <c r="E140" t="s">
        <v>19</v>
      </c>
      <c r="F140" t="s">
        <v>24</v>
      </c>
      <c r="G140" t="s">
        <v>14</v>
      </c>
      <c r="H140" t="s">
        <v>28</v>
      </c>
    </row>
    <row r="141" spans="1:8" x14ac:dyDescent="0.3">
      <c r="A141" t="s">
        <v>197</v>
      </c>
      <c r="B141" t="s">
        <v>30</v>
      </c>
      <c r="C141" t="s">
        <v>31</v>
      </c>
      <c r="D141" t="s">
        <v>57</v>
      </c>
      <c r="E141" t="s">
        <v>40</v>
      </c>
      <c r="F141" t="s">
        <v>13</v>
      </c>
      <c r="G141" t="s">
        <v>20</v>
      </c>
      <c r="H141" t="s">
        <v>28</v>
      </c>
    </row>
    <row r="142" spans="1:8" x14ac:dyDescent="0.3">
      <c r="A142" t="s">
        <v>198</v>
      </c>
      <c r="B142" t="s">
        <v>30</v>
      </c>
      <c r="C142" t="s">
        <v>34</v>
      </c>
      <c r="D142" t="s">
        <v>59</v>
      </c>
      <c r="E142" t="s">
        <v>23</v>
      </c>
      <c r="F142" t="s">
        <v>24</v>
      </c>
      <c r="G142" t="s">
        <v>25</v>
      </c>
      <c r="H142" t="s">
        <v>15</v>
      </c>
    </row>
    <row r="143" spans="1:8" x14ac:dyDescent="0.3">
      <c r="A143" t="s">
        <v>199</v>
      </c>
      <c r="B143" t="s">
        <v>9</v>
      </c>
      <c r="C143" t="s">
        <v>10</v>
      </c>
      <c r="D143" t="s">
        <v>61</v>
      </c>
      <c r="E143" t="s">
        <v>23</v>
      </c>
      <c r="F143" t="s">
        <v>13</v>
      </c>
      <c r="G143" t="s">
        <v>25</v>
      </c>
      <c r="H143" t="s">
        <v>15</v>
      </c>
    </row>
    <row r="144" spans="1:8" x14ac:dyDescent="0.3">
      <c r="A144" t="s">
        <v>200</v>
      </c>
      <c r="B144" t="s">
        <v>9</v>
      </c>
      <c r="C144" t="s">
        <v>34</v>
      </c>
      <c r="D144" t="s">
        <v>63</v>
      </c>
      <c r="E144" t="s">
        <v>12</v>
      </c>
      <c r="F144" t="s">
        <v>13</v>
      </c>
      <c r="G144" t="s">
        <v>25</v>
      </c>
      <c r="H144" t="s">
        <v>15</v>
      </c>
    </row>
    <row r="145" spans="1:8" x14ac:dyDescent="0.3">
      <c r="A145" t="s">
        <v>201</v>
      </c>
      <c r="B145" t="s">
        <v>30</v>
      </c>
      <c r="C145" t="s">
        <v>17</v>
      </c>
      <c r="D145" t="s">
        <v>65</v>
      </c>
      <c r="E145" t="s">
        <v>19</v>
      </c>
      <c r="F145" t="s">
        <v>24</v>
      </c>
      <c r="G145" t="s">
        <v>25</v>
      </c>
      <c r="H145" t="s">
        <v>28</v>
      </c>
    </row>
    <row r="146" spans="1:8" x14ac:dyDescent="0.3">
      <c r="A146" t="s">
        <v>202</v>
      </c>
      <c r="B146" t="s">
        <v>9</v>
      </c>
      <c r="C146" t="s">
        <v>71</v>
      </c>
      <c r="D146" t="s">
        <v>67</v>
      </c>
      <c r="E146" t="s">
        <v>19</v>
      </c>
      <c r="F146" t="s">
        <v>24</v>
      </c>
      <c r="G146" t="s">
        <v>14</v>
      </c>
      <c r="H146" t="s">
        <v>28</v>
      </c>
    </row>
    <row r="147" spans="1:8" x14ac:dyDescent="0.3">
      <c r="A147" t="s">
        <v>203</v>
      </c>
      <c r="B147" t="s">
        <v>9</v>
      </c>
      <c r="C147" t="s">
        <v>10</v>
      </c>
      <c r="D147" t="s">
        <v>69</v>
      </c>
      <c r="E147" t="s">
        <v>12</v>
      </c>
      <c r="F147" t="s">
        <v>24</v>
      </c>
      <c r="G147" t="s">
        <v>20</v>
      </c>
      <c r="H147" t="s">
        <v>28</v>
      </c>
    </row>
    <row r="148" spans="1:8" x14ac:dyDescent="0.3">
      <c r="A148" t="s">
        <v>204</v>
      </c>
      <c r="B148" t="s">
        <v>9</v>
      </c>
      <c r="C148" t="s">
        <v>10</v>
      </c>
      <c r="D148" t="s">
        <v>72</v>
      </c>
      <c r="E148" t="s">
        <v>19</v>
      </c>
      <c r="F148" t="s">
        <v>13</v>
      </c>
      <c r="G148" t="s">
        <v>20</v>
      </c>
      <c r="H148" t="s">
        <v>28</v>
      </c>
    </row>
    <row r="149" spans="1:8" x14ac:dyDescent="0.3">
      <c r="A149" t="s">
        <v>205</v>
      </c>
      <c r="B149" t="s">
        <v>9</v>
      </c>
      <c r="C149" t="s">
        <v>31</v>
      </c>
      <c r="D149" t="s">
        <v>74</v>
      </c>
      <c r="E149" t="s">
        <v>19</v>
      </c>
      <c r="F149" t="s">
        <v>24</v>
      </c>
      <c r="G149" t="s">
        <v>25</v>
      </c>
      <c r="H149" t="s">
        <v>15</v>
      </c>
    </row>
    <row r="150" spans="1:8" x14ac:dyDescent="0.3">
      <c r="A150" t="s">
        <v>206</v>
      </c>
      <c r="B150" t="s">
        <v>30</v>
      </c>
      <c r="C150" t="s">
        <v>48</v>
      </c>
      <c r="D150" t="s">
        <v>76</v>
      </c>
      <c r="E150" t="s">
        <v>23</v>
      </c>
      <c r="F150" t="s">
        <v>24</v>
      </c>
      <c r="G150" t="s">
        <v>14</v>
      </c>
      <c r="H150" t="s">
        <v>15</v>
      </c>
    </row>
    <row r="151" spans="1:8" x14ac:dyDescent="0.3">
      <c r="A151" t="s">
        <v>207</v>
      </c>
      <c r="B151" t="s">
        <v>9</v>
      </c>
      <c r="C151" t="s">
        <v>31</v>
      </c>
      <c r="D151" t="s">
        <v>78</v>
      </c>
      <c r="E151" t="s">
        <v>19</v>
      </c>
      <c r="F151" t="s">
        <v>24</v>
      </c>
      <c r="G151" t="s">
        <v>20</v>
      </c>
      <c r="H151" t="s">
        <v>15</v>
      </c>
    </row>
    <row r="152" spans="1:8" x14ac:dyDescent="0.3">
      <c r="A152" t="s">
        <v>208</v>
      </c>
      <c r="B152" t="s">
        <v>30</v>
      </c>
      <c r="C152" t="s">
        <v>17</v>
      </c>
      <c r="D152" t="s">
        <v>80</v>
      </c>
      <c r="E152" t="s">
        <v>12</v>
      </c>
      <c r="F152" t="s">
        <v>13</v>
      </c>
      <c r="G152" t="s">
        <v>14</v>
      </c>
      <c r="H152" t="s">
        <v>28</v>
      </c>
    </row>
    <row r="153" spans="1:8" x14ac:dyDescent="0.3">
      <c r="A153" t="s">
        <v>209</v>
      </c>
      <c r="B153" t="s">
        <v>30</v>
      </c>
      <c r="C153" t="s">
        <v>31</v>
      </c>
      <c r="D153" t="s">
        <v>82</v>
      </c>
      <c r="E153" t="s">
        <v>23</v>
      </c>
      <c r="F153" t="s">
        <v>24</v>
      </c>
      <c r="G153" t="s">
        <v>25</v>
      </c>
      <c r="H153" t="s">
        <v>15</v>
      </c>
    </row>
    <row r="154" spans="1:8" x14ac:dyDescent="0.3">
      <c r="A154" t="s">
        <v>210</v>
      </c>
      <c r="B154" t="s">
        <v>9</v>
      </c>
      <c r="C154" t="s">
        <v>31</v>
      </c>
      <c r="D154" t="s">
        <v>84</v>
      </c>
      <c r="E154" t="s">
        <v>40</v>
      </c>
      <c r="F154" t="s">
        <v>24</v>
      </c>
      <c r="G154" t="s">
        <v>20</v>
      </c>
      <c r="H154" t="s">
        <v>15</v>
      </c>
    </row>
    <row r="155" spans="1:8" x14ac:dyDescent="0.3">
      <c r="A155" t="s">
        <v>211</v>
      </c>
      <c r="B155" t="s">
        <v>9</v>
      </c>
      <c r="C155" t="s">
        <v>71</v>
      </c>
      <c r="D155" t="s">
        <v>86</v>
      </c>
      <c r="E155" t="s">
        <v>23</v>
      </c>
      <c r="F155" t="s">
        <v>24</v>
      </c>
      <c r="G155" t="s">
        <v>25</v>
      </c>
      <c r="H155" t="s">
        <v>15</v>
      </c>
    </row>
    <row r="156" spans="1:8" x14ac:dyDescent="0.3">
      <c r="A156" t="s">
        <v>212</v>
      </c>
      <c r="B156" t="s">
        <v>9</v>
      </c>
      <c r="C156" t="s">
        <v>48</v>
      </c>
      <c r="D156" t="s">
        <v>88</v>
      </c>
      <c r="E156" t="s">
        <v>12</v>
      </c>
      <c r="F156" t="s">
        <v>13</v>
      </c>
      <c r="G156" t="s">
        <v>25</v>
      </c>
      <c r="H156" t="s">
        <v>15</v>
      </c>
    </row>
    <row r="157" spans="1:8" x14ac:dyDescent="0.3">
      <c r="A157" t="s">
        <v>213</v>
      </c>
      <c r="B157" t="s">
        <v>9</v>
      </c>
      <c r="C157" t="s">
        <v>31</v>
      </c>
      <c r="D157" t="s">
        <v>11</v>
      </c>
      <c r="E157" t="s">
        <v>23</v>
      </c>
      <c r="F157" t="s">
        <v>24</v>
      </c>
      <c r="G157" t="s">
        <v>25</v>
      </c>
      <c r="H157" t="s">
        <v>15</v>
      </c>
    </row>
    <row r="158" spans="1:8" x14ac:dyDescent="0.3">
      <c r="A158" t="s">
        <v>214</v>
      </c>
      <c r="B158" t="s">
        <v>30</v>
      </c>
      <c r="C158" t="s">
        <v>71</v>
      </c>
      <c r="D158" t="s">
        <v>18</v>
      </c>
      <c r="E158" t="s">
        <v>40</v>
      </c>
      <c r="F158" t="s">
        <v>24</v>
      </c>
      <c r="G158" t="s">
        <v>14</v>
      </c>
      <c r="H158" t="s">
        <v>28</v>
      </c>
    </row>
    <row r="159" spans="1:8" x14ac:dyDescent="0.3">
      <c r="A159" t="s">
        <v>215</v>
      </c>
      <c r="B159" t="s">
        <v>9</v>
      </c>
      <c r="C159" t="s">
        <v>34</v>
      </c>
      <c r="D159" t="s">
        <v>22</v>
      </c>
      <c r="E159" t="s">
        <v>40</v>
      </c>
      <c r="F159" t="s">
        <v>13</v>
      </c>
      <c r="G159" t="s">
        <v>25</v>
      </c>
      <c r="H159" t="s">
        <v>15</v>
      </c>
    </row>
    <row r="160" spans="1:8" x14ac:dyDescent="0.3">
      <c r="A160" t="s">
        <v>216</v>
      </c>
      <c r="B160" t="s">
        <v>30</v>
      </c>
      <c r="C160" t="s">
        <v>31</v>
      </c>
      <c r="D160" t="s">
        <v>27</v>
      </c>
      <c r="E160" t="s">
        <v>23</v>
      </c>
      <c r="F160" t="s">
        <v>24</v>
      </c>
      <c r="G160" t="s">
        <v>25</v>
      </c>
      <c r="H160" t="s">
        <v>15</v>
      </c>
    </row>
    <row r="161" spans="1:8" x14ac:dyDescent="0.3">
      <c r="A161" t="s">
        <v>217</v>
      </c>
      <c r="B161" t="s">
        <v>30</v>
      </c>
      <c r="C161" t="s">
        <v>71</v>
      </c>
      <c r="D161" t="s">
        <v>32</v>
      </c>
      <c r="E161" t="s">
        <v>12</v>
      </c>
      <c r="F161" t="s">
        <v>24</v>
      </c>
      <c r="G161" t="s">
        <v>25</v>
      </c>
      <c r="H161" t="s">
        <v>28</v>
      </c>
    </row>
    <row r="162" spans="1:8" x14ac:dyDescent="0.3">
      <c r="A162" t="s">
        <v>218</v>
      </c>
      <c r="B162" t="s">
        <v>30</v>
      </c>
      <c r="C162" t="s">
        <v>34</v>
      </c>
      <c r="D162" t="s">
        <v>35</v>
      </c>
      <c r="E162" t="s">
        <v>12</v>
      </c>
      <c r="F162" t="s">
        <v>13</v>
      </c>
      <c r="G162" t="s">
        <v>20</v>
      </c>
      <c r="H162" t="s">
        <v>28</v>
      </c>
    </row>
    <row r="163" spans="1:8" x14ac:dyDescent="0.3">
      <c r="A163" t="s">
        <v>219</v>
      </c>
      <c r="B163" t="s">
        <v>30</v>
      </c>
      <c r="C163" t="s">
        <v>48</v>
      </c>
      <c r="D163" t="s">
        <v>37</v>
      </c>
      <c r="E163" t="s">
        <v>23</v>
      </c>
      <c r="F163" t="s">
        <v>13</v>
      </c>
      <c r="G163" t="s">
        <v>25</v>
      </c>
      <c r="H163" t="s">
        <v>15</v>
      </c>
    </row>
    <row r="164" spans="1:8" x14ac:dyDescent="0.3">
      <c r="A164" t="s">
        <v>220</v>
      </c>
      <c r="B164" t="s">
        <v>9</v>
      </c>
      <c r="C164" t="s">
        <v>71</v>
      </c>
      <c r="D164" t="s">
        <v>39</v>
      </c>
      <c r="E164" t="s">
        <v>40</v>
      </c>
      <c r="F164" t="s">
        <v>13</v>
      </c>
      <c r="G164" t="s">
        <v>14</v>
      </c>
      <c r="H164" t="s">
        <v>28</v>
      </c>
    </row>
    <row r="165" spans="1:8" x14ac:dyDescent="0.3">
      <c r="A165" t="s">
        <v>221</v>
      </c>
      <c r="B165" t="s">
        <v>9</v>
      </c>
      <c r="C165" t="s">
        <v>31</v>
      </c>
      <c r="D165" t="s">
        <v>42</v>
      </c>
      <c r="E165" t="s">
        <v>40</v>
      </c>
      <c r="F165" t="s">
        <v>24</v>
      </c>
      <c r="G165" t="s">
        <v>14</v>
      </c>
      <c r="H165" t="s">
        <v>15</v>
      </c>
    </row>
    <row r="166" spans="1:8" x14ac:dyDescent="0.3">
      <c r="A166" t="s">
        <v>222</v>
      </c>
      <c r="B166" t="s">
        <v>30</v>
      </c>
      <c r="C166" t="s">
        <v>71</v>
      </c>
      <c r="D166" t="s">
        <v>44</v>
      </c>
      <c r="E166" t="s">
        <v>23</v>
      </c>
      <c r="F166" t="s">
        <v>24</v>
      </c>
      <c r="G166" t="s">
        <v>14</v>
      </c>
      <c r="H166" t="s">
        <v>28</v>
      </c>
    </row>
    <row r="167" spans="1:8" x14ac:dyDescent="0.3">
      <c r="A167" t="s">
        <v>223</v>
      </c>
      <c r="B167" t="s">
        <v>30</v>
      </c>
      <c r="C167" t="s">
        <v>48</v>
      </c>
      <c r="D167" t="s">
        <v>46</v>
      </c>
      <c r="E167" t="s">
        <v>23</v>
      </c>
      <c r="F167" t="s">
        <v>24</v>
      </c>
      <c r="G167" t="s">
        <v>25</v>
      </c>
      <c r="H167" t="s">
        <v>28</v>
      </c>
    </row>
    <row r="168" spans="1:8" x14ac:dyDescent="0.3">
      <c r="A168" t="s">
        <v>224</v>
      </c>
      <c r="B168" t="s">
        <v>9</v>
      </c>
      <c r="C168" t="s">
        <v>48</v>
      </c>
      <c r="D168" t="s">
        <v>49</v>
      </c>
      <c r="E168" t="s">
        <v>23</v>
      </c>
      <c r="F168" t="s">
        <v>24</v>
      </c>
      <c r="G168" t="s">
        <v>14</v>
      </c>
      <c r="H168" t="s">
        <v>15</v>
      </c>
    </row>
    <row r="169" spans="1:8" x14ac:dyDescent="0.3">
      <c r="A169" t="s">
        <v>225</v>
      </c>
      <c r="B169" t="s">
        <v>30</v>
      </c>
      <c r="C169" t="s">
        <v>71</v>
      </c>
      <c r="D169" t="s">
        <v>51</v>
      </c>
      <c r="E169" t="s">
        <v>19</v>
      </c>
      <c r="F169" t="s">
        <v>24</v>
      </c>
      <c r="G169" t="s">
        <v>25</v>
      </c>
      <c r="H169" t="s">
        <v>28</v>
      </c>
    </row>
    <row r="170" spans="1:8" x14ac:dyDescent="0.3">
      <c r="A170" t="s">
        <v>226</v>
      </c>
      <c r="B170" t="s">
        <v>9</v>
      </c>
      <c r="C170" t="s">
        <v>34</v>
      </c>
      <c r="D170" t="s">
        <v>53</v>
      </c>
      <c r="E170" t="s">
        <v>19</v>
      </c>
      <c r="F170" t="s">
        <v>13</v>
      </c>
      <c r="G170" t="s">
        <v>14</v>
      </c>
      <c r="H170" t="s">
        <v>28</v>
      </c>
    </row>
    <row r="171" spans="1:8" x14ac:dyDescent="0.3">
      <c r="A171" t="s">
        <v>227</v>
      </c>
      <c r="B171" t="s">
        <v>30</v>
      </c>
      <c r="C171" t="s">
        <v>31</v>
      </c>
      <c r="D171" t="s">
        <v>55</v>
      </c>
      <c r="E171" t="s">
        <v>23</v>
      </c>
      <c r="F171" t="s">
        <v>13</v>
      </c>
      <c r="G171" t="s">
        <v>25</v>
      </c>
      <c r="H171" t="s">
        <v>28</v>
      </c>
    </row>
    <row r="172" spans="1:8" x14ac:dyDescent="0.3">
      <c r="A172" t="s">
        <v>228</v>
      </c>
      <c r="B172" t="s">
        <v>30</v>
      </c>
      <c r="C172" t="s">
        <v>34</v>
      </c>
      <c r="D172" t="s">
        <v>57</v>
      </c>
      <c r="E172" t="s">
        <v>23</v>
      </c>
      <c r="F172" t="s">
        <v>13</v>
      </c>
      <c r="G172" t="s">
        <v>25</v>
      </c>
      <c r="H172" t="s">
        <v>15</v>
      </c>
    </row>
    <row r="173" spans="1:8" x14ac:dyDescent="0.3">
      <c r="A173" t="s">
        <v>229</v>
      </c>
      <c r="B173" t="s">
        <v>30</v>
      </c>
      <c r="C173" t="s">
        <v>48</v>
      </c>
      <c r="D173" t="s">
        <v>59</v>
      </c>
      <c r="E173" t="s">
        <v>23</v>
      </c>
      <c r="F173" t="s">
        <v>24</v>
      </c>
      <c r="G173" t="s">
        <v>14</v>
      </c>
      <c r="H173" t="s">
        <v>15</v>
      </c>
    </row>
    <row r="174" spans="1:8" x14ac:dyDescent="0.3">
      <c r="A174" t="s">
        <v>230</v>
      </c>
      <c r="B174" t="s">
        <v>30</v>
      </c>
      <c r="C174" t="s">
        <v>10</v>
      </c>
      <c r="D174" t="s">
        <v>61</v>
      </c>
      <c r="E174" t="s">
        <v>23</v>
      </c>
      <c r="F174" t="s">
        <v>13</v>
      </c>
      <c r="G174" t="s">
        <v>25</v>
      </c>
      <c r="H174" t="s">
        <v>15</v>
      </c>
    </row>
    <row r="175" spans="1:8" x14ac:dyDescent="0.3">
      <c r="A175" t="s">
        <v>231</v>
      </c>
      <c r="B175" t="s">
        <v>30</v>
      </c>
      <c r="C175" t="s">
        <v>71</v>
      </c>
      <c r="D175" t="s">
        <v>63</v>
      </c>
      <c r="E175" t="s">
        <v>23</v>
      </c>
      <c r="F175" t="s">
        <v>13</v>
      </c>
      <c r="G175" t="s">
        <v>25</v>
      </c>
      <c r="H175" t="s">
        <v>15</v>
      </c>
    </row>
    <row r="176" spans="1:8" x14ac:dyDescent="0.3">
      <c r="A176" t="s">
        <v>232</v>
      </c>
      <c r="B176" t="s">
        <v>9</v>
      </c>
      <c r="C176" t="s">
        <v>71</v>
      </c>
      <c r="D176" t="s">
        <v>65</v>
      </c>
      <c r="E176" t="s">
        <v>19</v>
      </c>
      <c r="F176" t="s">
        <v>13</v>
      </c>
      <c r="G176" t="s">
        <v>25</v>
      </c>
      <c r="H176" t="s">
        <v>15</v>
      </c>
    </row>
    <row r="177" spans="1:8" x14ac:dyDescent="0.3">
      <c r="A177" t="s">
        <v>233</v>
      </c>
      <c r="B177" t="s">
        <v>9</v>
      </c>
      <c r="C177" t="s">
        <v>10</v>
      </c>
      <c r="D177" t="s">
        <v>67</v>
      </c>
      <c r="E177" t="s">
        <v>23</v>
      </c>
      <c r="F177" t="s">
        <v>13</v>
      </c>
      <c r="G177" t="s">
        <v>25</v>
      </c>
      <c r="H177" t="s">
        <v>15</v>
      </c>
    </row>
    <row r="178" spans="1:8" x14ac:dyDescent="0.3">
      <c r="A178" t="s">
        <v>234</v>
      </c>
      <c r="B178" t="s">
        <v>30</v>
      </c>
      <c r="C178" t="s">
        <v>31</v>
      </c>
      <c r="D178" t="s">
        <v>69</v>
      </c>
      <c r="E178" t="s">
        <v>23</v>
      </c>
      <c r="F178" t="s">
        <v>24</v>
      </c>
      <c r="G178" t="s">
        <v>25</v>
      </c>
      <c r="H178" t="s">
        <v>15</v>
      </c>
    </row>
    <row r="179" spans="1:8" x14ac:dyDescent="0.3">
      <c r="A179" t="s">
        <v>235</v>
      </c>
      <c r="B179" t="s">
        <v>9</v>
      </c>
      <c r="C179" t="s">
        <v>34</v>
      </c>
      <c r="D179" t="s">
        <v>72</v>
      </c>
      <c r="E179" t="s">
        <v>19</v>
      </c>
      <c r="F179" t="s">
        <v>24</v>
      </c>
      <c r="G179" t="s">
        <v>25</v>
      </c>
      <c r="H179" t="s">
        <v>28</v>
      </c>
    </row>
    <row r="180" spans="1:8" x14ac:dyDescent="0.3">
      <c r="A180" t="s">
        <v>236</v>
      </c>
      <c r="B180" t="s">
        <v>30</v>
      </c>
      <c r="C180" t="s">
        <v>34</v>
      </c>
      <c r="D180" t="s">
        <v>74</v>
      </c>
      <c r="E180" t="s">
        <v>23</v>
      </c>
      <c r="F180" t="s">
        <v>13</v>
      </c>
      <c r="G180" t="s">
        <v>25</v>
      </c>
      <c r="H180" t="s">
        <v>15</v>
      </c>
    </row>
    <row r="181" spans="1:8" x14ac:dyDescent="0.3">
      <c r="A181" t="s">
        <v>237</v>
      </c>
      <c r="B181" t="s">
        <v>30</v>
      </c>
      <c r="C181" t="s">
        <v>48</v>
      </c>
      <c r="D181" t="s">
        <v>76</v>
      </c>
      <c r="E181" t="s">
        <v>12</v>
      </c>
      <c r="F181" t="s">
        <v>24</v>
      </c>
      <c r="G181" t="s">
        <v>14</v>
      </c>
      <c r="H181" t="s">
        <v>28</v>
      </c>
    </row>
    <row r="182" spans="1:8" x14ac:dyDescent="0.3">
      <c r="A182" t="s">
        <v>238</v>
      </c>
      <c r="B182" t="s">
        <v>30</v>
      </c>
      <c r="C182" t="s">
        <v>10</v>
      </c>
      <c r="D182" t="s">
        <v>78</v>
      </c>
      <c r="E182" t="s">
        <v>23</v>
      </c>
      <c r="F182" t="s">
        <v>13</v>
      </c>
      <c r="G182" t="s">
        <v>25</v>
      </c>
      <c r="H182" t="s">
        <v>15</v>
      </c>
    </row>
    <row r="183" spans="1:8" x14ac:dyDescent="0.3">
      <c r="A183" t="s">
        <v>239</v>
      </c>
      <c r="B183" t="s">
        <v>30</v>
      </c>
      <c r="C183" t="s">
        <v>48</v>
      </c>
      <c r="D183" t="s">
        <v>80</v>
      </c>
      <c r="E183" t="s">
        <v>23</v>
      </c>
      <c r="F183" t="s">
        <v>13</v>
      </c>
      <c r="G183" t="s">
        <v>25</v>
      </c>
      <c r="H183" t="s">
        <v>15</v>
      </c>
    </row>
    <row r="184" spans="1:8" x14ac:dyDescent="0.3">
      <c r="A184" t="s">
        <v>240</v>
      </c>
      <c r="B184" t="s">
        <v>30</v>
      </c>
      <c r="C184" t="s">
        <v>31</v>
      </c>
      <c r="D184" t="s">
        <v>82</v>
      </c>
      <c r="E184" t="s">
        <v>40</v>
      </c>
      <c r="F184" t="s">
        <v>24</v>
      </c>
      <c r="G184" t="s">
        <v>14</v>
      </c>
      <c r="H184" t="s">
        <v>28</v>
      </c>
    </row>
    <row r="185" spans="1:8" x14ac:dyDescent="0.3">
      <c r="A185" t="s">
        <v>241</v>
      </c>
      <c r="B185" t="s">
        <v>30</v>
      </c>
      <c r="C185" t="s">
        <v>31</v>
      </c>
      <c r="D185" t="s">
        <v>84</v>
      </c>
      <c r="E185" t="s">
        <v>23</v>
      </c>
      <c r="F185" t="s">
        <v>24</v>
      </c>
      <c r="G185" t="s">
        <v>25</v>
      </c>
      <c r="H185" t="s">
        <v>15</v>
      </c>
    </row>
    <row r="186" spans="1:8" x14ac:dyDescent="0.3">
      <c r="A186" t="s">
        <v>242</v>
      </c>
      <c r="B186" t="s">
        <v>30</v>
      </c>
      <c r="C186" t="s">
        <v>48</v>
      </c>
      <c r="D186" t="s">
        <v>86</v>
      </c>
      <c r="E186" t="s">
        <v>23</v>
      </c>
      <c r="F186" t="s">
        <v>13</v>
      </c>
      <c r="G186" t="s">
        <v>25</v>
      </c>
      <c r="H186" t="s">
        <v>15</v>
      </c>
    </row>
    <row r="187" spans="1:8" x14ac:dyDescent="0.3">
      <c r="A187" t="s">
        <v>243</v>
      </c>
      <c r="B187" t="s">
        <v>30</v>
      </c>
      <c r="C187" t="s">
        <v>31</v>
      </c>
      <c r="D187" t="s">
        <v>88</v>
      </c>
      <c r="E187" t="s">
        <v>23</v>
      </c>
      <c r="F187" t="s">
        <v>13</v>
      </c>
      <c r="G187" t="s">
        <v>14</v>
      </c>
      <c r="H187" t="s">
        <v>15</v>
      </c>
    </row>
    <row r="188" spans="1:8" x14ac:dyDescent="0.3">
      <c r="A188" t="s">
        <v>244</v>
      </c>
      <c r="B188" t="s">
        <v>30</v>
      </c>
      <c r="C188" t="s">
        <v>17</v>
      </c>
      <c r="D188" t="s">
        <v>11</v>
      </c>
      <c r="E188" t="s">
        <v>19</v>
      </c>
      <c r="F188" t="s">
        <v>24</v>
      </c>
      <c r="G188" t="s">
        <v>20</v>
      </c>
      <c r="H188" t="s">
        <v>28</v>
      </c>
    </row>
    <row r="189" spans="1:8" x14ac:dyDescent="0.3">
      <c r="A189" t="s">
        <v>245</v>
      </c>
      <c r="B189" t="s">
        <v>9</v>
      </c>
      <c r="C189" t="s">
        <v>10</v>
      </c>
      <c r="D189" t="s">
        <v>18</v>
      </c>
      <c r="E189" t="s">
        <v>12</v>
      </c>
      <c r="F189" t="s">
        <v>13</v>
      </c>
      <c r="G189" t="s">
        <v>14</v>
      </c>
      <c r="H189" t="s">
        <v>28</v>
      </c>
    </row>
    <row r="190" spans="1:8" x14ac:dyDescent="0.3">
      <c r="A190" t="s">
        <v>246</v>
      </c>
      <c r="B190" t="s">
        <v>9</v>
      </c>
      <c r="C190" t="s">
        <v>34</v>
      </c>
      <c r="D190" t="s">
        <v>22</v>
      </c>
      <c r="E190" t="s">
        <v>19</v>
      </c>
      <c r="F190" t="s">
        <v>24</v>
      </c>
      <c r="G190" t="s">
        <v>20</v>
      </c>
      <c r="H190" t="s">
        <v>15</v>
      </c>
    </row>
    <row r="191" spans="1:8" x14ac:dyDescent="0.3">
      <c r="A191" t="s">
        <v>247</v>
      </c>
      <c r="B191" t="s">
        <v>30</v>
      </c>
      <c r="C191" t="s">
        <v>17</v>
      </c>
      <c r="D191" t="s">
        <v>27</v>
      </c>
      <c r="E191" t="s">
        <v>23</v>
      </c>
      <c r="F191" t="s">
        <v>13</v>
      </c>
      <c r="G191" t="s">
        <v>25</v>
      </c>
      <c r="H191" t="s">
        <v>15</v>
      </c>
    </row>
    <row r="192" spans="1:8" x14ac:dyDescent="0.3">
      <c r="A192" t="s">
        <v>248</v>
      </c>
      <c r="B192" t="s">
        <v>9</v>
      </c>
      <c r="C192" t="s">
        <v>71</v>
      </c>
      <c r="D192" t="s">
        <v>32</v>
      </c>
      <c r="E192" t="s">
        <v>19</v>
      </c>
      <c r="F192" t="s">
        <v>13</v>
      </c>
      <c r="G192" t="s">
        <v>14</v>
      </c>
      <c r="H192" t="s">
        <v>15</v>
      </c>
    </row>
    <row r="193" spans="1:8" x14ac:dyDescent="0.3">
      <c r="A193" t="s">
        <v>249</v>
      </c>
      <c r="B193" t="s">
        <v>9</v>
      </c>
      <c r="C193" t="s">
        <v>34</v>
      </c>
      <c r="D193" t="s">
        <v>35</v>
      </c>
      <c r="E193" t="s">
        <v>19</v>
      </c>
      <c r="F193" t="s">
        <v>13</v>
      </c>
      <c r="G193" t="s">
        <v>20</v>
      </c>
      <c r="H193" t="s">
        <v>28</v>
      </c>
    </row>
    <row r="194" spans="1:8" x14ac:dyDescent="0.3">
      <c r="A194" t="s">
        <v>250</v>
      </c>
      <c r="B194" t="s">
        <v>9</v>
      </c>
      <c r="C194" t="s">
        <v>10</v>
      </c>
      <c r="D194" t="s">
        <v>37</v>
      </c>
      <c r="E194" t="s">
        <v>12</v>
      </c>
      <c r="F194" t="s">
        <v>24</v>
      </c>
      <c r="G194" t="s">
        <v>20</v>
      </c>
      <c r="H194"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6045A-B304-49BB-8FAD-2AFD7D3AA34D}">
  <dimension ref="A2:Y11"/>
  <sheetViews>
    <sheetView zoomScaleNormal="100" workbookViewId="0">
      <selection activeCell="C6" sqref="C6"/>
    </sheetView>
  </sheetViews>
  <sheetFormatPr defaultRowHeight="14.4" x14ac:dyDescent="0.3"/>
  <cols>
    <col min="1" max="1" width="15.88671875" bestFit="1" customWidth="1"/>
    <col min="4" max="4" width="12.5546875" bestFit="1" customWidth="1"/>
    <col min="5" max="5" width="15.88671875" bestFit="1" customWidth="1"/>
    <col min="8" max="8" width="12.5546875" bestFit="1" customWidth="1"/>
    <col min="9" max="9" width="15.88671875" bestFit="1" customWidth="1"/>
    <col min="12" max="12" width="12.88671875" bestFit="1" customWidth="1"/>
    <col min="13" max="13" width="15.88671875" bestFit="1" customWidth="1"/>
    <col min="16" max="16" width="12.5546875" bestFit="1" customWidth="1"/>
    <col min="17" max="17" width="15.88671875" bestFit="1" customWidth="1"/>
    <col min="20" max="20" width="12.5546875" bestFit="1" customWidth="1"/>
    <col min="21" max="21" width="15.88671875" bestFit="1" customWidth="1"/>
    <col min="24" max="24" width="12.5546875" bestFit="1" customWidth="1"/>
    <col min="25" max="25" width="15.88671875" bestFit="1" customWidth="1"/>
  </cols>
  <sheetData>
    <row r="2" spans="1:25" x14ac:dyDescent="0.3">
      <c r="A2" t="s">
        <v>252</v>
      </c>
      <c r="D2" t="s">
        <v>255</v>
      </c>
      <c r="H2" t="s">
        <v>256</v>
      </c>
      <c r="L2" t="s">
        <v>257</v>
      </c>
      <c r="P2" t="s">
        <v>258</v>
      </c>
      <c r="T2" t="s">
        <v>260</v>
      </c>
      <c r="X2" t="s">
        <v>259</v>
      </c>
    </row>
    <row r="4" spans="1:25" x14ac:dyDescent="0.3">
      <c r="A4" t="s">
        <v>251</v>
      </c>
      <c r="D4" s="1" t="s">
        <v>253</v>
      </c>
      <c r="E4" t="s">
        <v>251</v>
      </c>
      <c r="H4" s="1" t="s">
        <v>253</v>
      </c>
      <c r="I4" t="s">
        <v>251</v>
      </c>
      <c r="L4" s="1" t="s">
        <v>253</v>
      </c>
      <c r="M4" t="s">
        <v>251</v>
      </c>
      <c r="P4" s="1" t="s">
        <v>253</v>
      </c>
      <c r="Q4" t="s">
        <v>251</v>
      </c>
      <c r="T4" s="1" t="s">
        <v>253</v>
      </c>
      <c r="U4" t="s">
        <v>251</v>
      </c>
      <c r="X4" s="1" t="s">
        <v>253</v>
      </c>
      <c r="Y4" t="s">
        <v>251</v>
      </c>
    </row>
    <row r="5" spans="1:25" x14ac:dyDescent="0.3">
      <c r="A5" s="4">
        <v>193</v>
      </c>
      <c r="D5" s="2" t="s">
        <v>34</v>
      </c>
      <c r="E5" s="4">
        <v>32</v>
      </c>
      <c r="H5" s="2" t="s">
        <v>9</v>
      </c>
      <c r="I5" s="4">
        <v>104</v>
      </c>
      <c r="L5" s="2" t="s">
        <v>40</v>
      </c>
      <c r="M5" s="4">
        <v>30</v>
      </c>
      <c r="P5" s="2" t="s">
        <v>13</v>
      </c>
      <c r="Q5" s="4">
        <v>102</v>
      </c>
      <c r="T5" s="2" t="s">
        <v>14</v>
      </c>
      <c r="U5" s="4">
        <v>61</v>
      </c>
      <c r="X5" s="2" t="s">
        <v>28</v>
      </c>
      <c r="Y5" s="4">
        <v>82</v>
      </c>
    </row>
    <row r="6" spans="1:25" x14ac:dyDescent="0.3">
      <c r="D6" s="2" t="s">
        <v>71</v>
      </c>
      <c r="E6" s="4">
        <v>31</v>
      </c>
      <c r="H6" s="2" t="s">
        <v>30</v>
      </c>
      <c r="I6" s="4">
        <v>89</v>
      </c>
      <c r="L6" s="2" t="s">
        <v>12</v>
      </c>
      <c r="M6" s="4">
        <v>29</v>
      </c>
      <c r="P6" s="2" t="s">
        <v>24</v>
      </c>
      <c r="Q6" s="4">
        <v>91</v>
      </c>
      <c r="T6" s="2" t="s">
        <v>20</v>
      </c>
      <c r="U6" s="4">
        <v>36</v>
      </c>
      <c r="X6" s="2" t="s">
        <v>15</v>
      </c>
      <c r="Y6" s="4">
        <v>111</v>
      </c>
    </row>
    <row r="7" spans="1:25" x14ac:dyDescent="0.3">
      <c r="D7" s="2" t="s">
        <v>10</v>
      </c>
      <c r="E7" s="4">
        <v>35</v>
      </c>
      <c r="H7" s="2" t="s">
        <v>254</v>
      </c>
      <c r="I7" s="4">
        <v>193</v>
      </c>
      <c r="L7" s="2" t="s">
        <v>23</v>
      </c>
      <c r="M7" s="4">
        <v>84</v>
      </c>
      <c r="P7" s="2" t="s">
        <v>254</v>
      </c>
      <c r="Q7" s="4">
        <v>193</v>
      </c>
      <c r="T7" s="2" t="s">
        <v>25</v>
      </c>
      <c r="U7" s="4">
        <v>96</v>
      </c>
      <c r="X7" s="2" t="s">
        <v>254</v>
      </c>
      <c r="Y7" s="4">
        <v>193</v>
      </c>
    </row>
    <row r="8" spans="1:25" x14ac:dyDescent="0.3">
      <c r="D8" s="2" t="s">
        <v>31</v>
      </c>
      <c r="E8" s="4">
        <v>40</v>
      </c>
      <c r="L8" s="2" t="s">
        <v>19</v>
      </c>
      <c r="M8" s="4">
        <v>50</v>
      </c>
      <c r="T8" s="2" t="s">
        <v>254</v>
      </c>
      <c r="U8" s="4">
        <v>193</v>
      </c>
    </row>
    <row r="9" spans="1:25" x14ac:dyDescent="0.3">
      <c r="D9" s="2" t="s">
        <v>17</v>
      </c>
      <c r="E9" s="4">
        <v>28</v>
      </c>
      <c r="L9" s="2" t="s">
        <v>254</v>
      </c>
      <c r="M9" s="4">
        <v>193</v>
      </c>
    </row>
    <row r="10" spans="1:25" x14ac:dyDescent="0.3">
      <c r="D10" s="2" t="s">
        <v>48</v>
      </c>
      <c r="E10" s="4">
        <v>27</v>
      </c>
    </row>
    <row r="11" spans="1:25" x14ac:dyDescent="0.3">
      <c r="D11" s="2" t="s">
        <v>254</v>
      </c>
      <c r="E11" s="4">
        <v>193</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2DF8-698B-4A6D-B3EC-AACCB7C619D5}">
  <dimension ref="A1:T36"/>
  <sheetViews>
    <sheetView showGridLines="0" showRowColHeaders="0" zoomScale="73" zoomScaleNormal="73" workbookViewId="0">
      <selection activeCell="L9" sqref="L9"/>
    </sheetView>
  </sheetViews>
  <sheetFormatPr defaultColWidth="0" defaultRowHeight="14.4" zeroHeight="1" x14ac:dyDescent="0.3"/>
  <cols>
    <col min="1" max="1" width="2.33203125" style="3" customWidth="1"/>
    <col min="2" max="4" width="9.109375" customWidth="1"/>
    <col min="5" max="5" width="2.33203125" style="3" customWidth="1"/>
    <col min="6" max="11" width="9.109375" customWidth="1"/>
    <col min="12" max="12" width="2.33203125" style="3" customWidth="1"/>
    <col min="13" max="15" width="9.109375" customWidth="1"/>
    <col min="16" max="16" width="2.33203125" style="3" customWidth="1"/>
    <col min="17" max="19" width="9.109375" customWidth="1"/>
    <col min="20" max="20" width="2.33203125" style="3" customWidth="1"/>
    <col min="21" max="16384" width="9.109375" hidden="1"/>
  </cols>
  <sheetData>
    <row r="1" spans="3:19" x14ac:dyDescent="0.3">
      <c r="F1" s="3"/>
      <c r="G1" s="3"/>
      <c r="H1" s="3"/>
      <c r="I1" s="3"/>
      <c r="J1" s="3"/>
      <c r="K1" s="3"/>
      <c r="M1" s="3"/>
      <c r="N1" s="3"/>
      <c r="O1" s="3"/>
      <c r="Q1" s="3"/>
      <c r="R1" s="3"/>
      <c r="S1" s="3"/>
    </row>
    <row r="2" spans="3:19" ht="15.6" x14ac:dyDescent="0.3">
      <c r="F2" s="7" t="s">
        <v>268</v>
      </c>
      <c r="G2" s="8"/>
      <c r="H2" s="8"/>
      <c r="I2" s="3"/>
      <c r="J2" s="3"/>
      <c r="K2" s="3"/>
      <c r="M2" s="3"/>
      <c r="N2" s="3"/>
      <c r="O2" s="3"/>
      <c r="Q2" s="13" t="s">
        <v>272</v>
      </c>
      <c r="R2" s="13"/>
      <c r="S2" s="3"/>
    </row>
    <row r="3" spans="3:19" ht="15.6" x14ac:dyDescent="0.3">
      <c r="F3" s="7" t="s">
        <v>269</v>
      </c>
      <c r="G3" s="8"/>
      <c r="H3" s="8"/>
      <c r="I3" s="3"/>
      <c r="J3" s="3"/>
      <c r="K3" s="3"/>
      <c r="M3" s="3"/>
      <c r="N3" s="3"/>
      <c r="O3" s="3"/>
      <c r="Q3" s="13"/>
      <c r="R3" s="13"/>
      <c r="S3" s="3"/>
    </row>
    <row r="4" spans="3:19" ht="21" x14ac:dyDescent="0.4">
      <c r="C4" s="6" t="s">
        <v>270</v>
      </c>
      <c r="D4" s="6"/>
      <c r="F4" s="9" t="s">
        <v>267</v>
      </c>
    </row>
    <row r="5" spans="3:19" ht="21" x14ac:dyDescent="0.4">
      <c r="C5" s="6" t="s">
        <v>271</v>
      </c>
      <c r="D5" s="6"/>
    </row>
    <row r="6" spans="3:19" ht="21" x14ac:dyDescent="0.4">
      <c r="C6" s="5"/>
      <c r="D6" s="5"/>
      <c r="F6" s="11">
        <f>GETPIVOTDATA("[Measures].[Count of Client ID]",'Summarized Data'!$A$4)</f>
        <v>193</v>
      </c>
      <c r="G6" s="11"/>
    </row>
    <row r="7" spans="3:19" x14ac:dyDescent="0.3">
      <c r="F7" s="11"/>
      <c r="G7" s="11"/>
    </row>
    <row r="8" spans="3:19" x14ac:dyDescent="0.3">
      <c r="F8" s="11"/>
      <c r="G8" s="11"/>
    </row>
    <row r="9" spans="3:19" s="3" customFormat="1" ht="12" customHeight="1" x14ac:dyDescent="0.3"/>
    <row r="10" spans="3:19" x14ac:dyDescent="0.3">
      <c r="F10" s="10" t="s">
        <v>261</v>
      </c>
      <c r="G10" s="10"/>
      <c r="H10" s="10"/>
      <c r="M10" s="10" t="s">
        <v>262</v>
      </c>
      <c r="N10" s="10"/>
      <c r="O10" s="10"/>
      <c r="Q10" s="10" t="s">
        <v>266</v>
      </c>
      <c r="R10" s="10"/>
      <c r="S10" s="10"/>
    </row>
    <row r="11" spans="3:19" x14ac:dyDescent="0.3"/>
    <row r="12" spans="3:19" x14ac:dyDescent="0.3"/>
    <row r="13" spans="3:19" x14ac:dyDescent="0.3"/>
    <row r="14" spans="3:19" x14ac:dyDescent="0.3"/>
    <row r="15" spans="3:19" x14ac:dyDescent="0.3"/>
    <row r="16" spans="3:19" x14ac:dyDescent="0.3"/>
    <row r="17" spans="6:19" x14ac:dyDescent="0.3"/>
    <row r="18" spans="6:19" x14ac:dyDescent="0.3"/>
    <row r="19" spans="6:19" x14ac:dyDescent="0.3"/>
    <row r="20" spans="6:19" x14ac:dyDescent="0.3"/>
    <row r="21" spans="6:19" s="3" customFormat="1" ht="12" customHeight="1" x14ac:dyDescent="0.3"/>
    <row r="22" spans="6:19" x14ac:dyDescent="0.3">
      <c r="F22" s="10" t="s">
        <v>265</v>
      </c>
      <c r="G22" s="10"/>
      <c r="H22" s="10"/>
      <c r="M22" s="12" t="s">
        <v>264</v>
      </c>
      <c r="N22" s="12"/>
      <c r="O22" s="12"/>
      <c r="Q22" s="10" t="s">
        <v>263</v>
      </c>
      <c r="R22" s="10"/>
      <c r="S22" s="10"/>
    </row>
    <row r="23" spans="6:19" x14ac:dyDescent="0.3"/>
    <row r="24" spans="6:19" x14ac:dyDescent="0.3"/>
    <row r="25" spans="6:19" x14ac:dyDescent="0.3"/>
    <row r="26" spans="6:19" x14ac:dyDescent="0.3"/>
    <row r="27" spans="6:19" x14ac:dyDescent="0.3"/>
    <row r="28" spans="6:19" x14ac:dyDescent="0.3"/>
    <row r="29" spans="6:19" x14ac:dyDescent="0.3"/>
    <row r="30" spans="6:19" x14ac:dyDescent="0.3"/>
    <row r="31" spans="6:19" x14ac:dyDescent="0.3"/>
    <row r="32" spans="6:19" x14ac:dyDescent="0.3"/>
    <row r="33" x14ac:dyDescent="0.3"/>
    <row r="34" x14ac:dyDescent="0.3"/>
    <row r="35" x14ac:dyDescent="0.3"/>
    <row r="36" s="3" customFormat="1" ht="12" customHeight="1" x14ac:dyDescent="0.3"/>
  </sheetData>
  <mergeCells count="3">
    <mergeCell ref="F6:G8"/>
    <mergeCell ref="M22:O22"/>
    <mergeCell ref="Q2: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F901E47-3FED-4A73-B8B1-4BF24F5BF9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July_2023_Sales_Dataset</vt:lpstr>
      <vt:lpstr>Summarized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AKSUN STEEL ENGINEERING</cp:lastModifiedBy>
  <dcterms:created xsi:type="dcterms:W3CDTF">2026-04-12T19:43:56Z</dcterms:created>
  <dcterms:modified xsi:type="dcterms:W3CDTF">2026-05-11T17:13:36Z</dcterms:modified>
</cp:coreProperties>
</file>